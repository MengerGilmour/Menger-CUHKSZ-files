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BFD28CDC-E48D-446E-B6C1-611B206243C3}" xr6:coauthVersionLast="47" xr6:coauthVersionMax="47" xr10:uidLastSave="{00000000-0000-0000-0000-000000000000}"/>
  <bookViews>
    <workbookView xWindow="-110" yWindow="-110" windowWidth="25820" windowHeight="15500" tabRatio="629" firstSheet="6" activeTab="9" xr2:uid="{00000000-000D-0000-FFFF-FFFF00000000}"/>
  </bookViews>
  <sheets>
    <sheet name="监控界面" sheetId="26" state="hidden" r:id="rId1"/>
    <sheet name="交易监控表" sheetId="14" state="hidden" r:id="rId2"/>
    <sheet name="7.15 513050" sheetId="6" r:id="rId3"/>
    <sheet name="7.16 513050" sheetId="30" r:id="rId4"/>
    <sheet name="7.17 513050" sheetId="32" r:id="rId5"/>
    <sheet name="7.12 513050" sheetId="34" r:id="rId6"/>
    <sheet name="7.10 513050" sheetId="37" r:id="rId7"/>
    <sheet name="纳指ETF折溢价" sheetId="4" r:id="rId8"/>
    <sheet name="广发中概折溢价" sheetId="27" state="hidden" r:id="rId9"/>
    <sheet name="Sheet1" sheetId="38" r:id="rId10"/>
  </sheets>
  <externalReferences>
    <externalReference r:id="rId11"/>
  </externalReferences>
  <definedNames>
    <definedName name="ExternalData_1" localSheetId="6" hidden="1">'7.10 513050'!#REF!</definedName>
    <definedName name="ExternalData_1" localSheetId="3" hidden="1">'7.16 513050'!#REF!</definedName>
    <definedName name="ExternalData_1" localSheetId="4" hidden="1">'7.17 513050'!$A$1:$G$40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38" l="1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H8" i="38"/>
  <c r="H7" i="38"/>
  <c r="H6" i="38"/>
  <c r="H5" i="38"/>
  <c r="H4" i="38"/>
  <c r="H3" i="38"/>
  <c r="I36" i="38"/>
  <c r="M36" i="38"/>
  <c r="Q36" i="38"/>
  <c r="U36" i="38"/>
  <c r="Y36" i="38"/>
  <c r="M38" i="38"/>
  <c r="I38" i="38"/>
  <c r="E38" i="38"/>
  <c r="G9" i="26" l="1"/>
  <c r="G6" i="26"/>
  <c r="G4" i="26"/>
  <c r="G2" i="26"/>
  <c r="G3" i="26"/>
  <c r="C2" i="26"/>
  <c r="B2" i="26"/>
  <c r="E2" i="38"/>
  <c r="C33" i="38"/>
  <c r="C34" i="38"/>
  <c r="C3" i="38"/>
  <c r="C4" i="38"/>
  <c r="C5" i="38"/>
  <c r="C6" i="38"/>
  <c r="C7" i="38"/>
  <c r="C8" i="38"/>
  <c r="C10" i="38"/>
  <c r="C11" i="38"/>
  <c r="C12" i="38"/>
  <c r="C14" i="38"/>
  <c r="C15" i="38"/>
  <c r="C16" i="38"/>
  <c r="C17" i="38"/>
  <c r="C18" i="38"/>
  <c r="C20" i="38"/>
  <c r="C24" i="38"/>
  <c r="C27" i="38"/>
  <c r="C28" i="38"/>
  <c r="C29" i="38"/>
  <c r="C30" i="38"/>
  <c r="C31" i="38"/>
  <c r="C32" i="38"/>
  <c r="C2" i="38"/>
  <c r="C19" i="38"/>
  <c r="C22" i="38"/>
  <c r="C23" i="38"/>
  <c r="C26" i="38"/>
  <c r="C9" i="38"/>
  <c r="C13" i="38"/>
  <c r="C21" i="38"/>
  <c r="C25" i="38"/>
  <c r="A6" i="37"/>
  <c r="M31" i="34"/>
  <c r="L28" i="34"/>
  <c r="K26" i="34"/>
  <c r="J8" i="34"/>
  <c r="J9" i="32"/>
  <c r="L38" i="34"/>
  <c r="J15" i="32"/>
  <c r="L7" i="34"/>
  <c r="J33" i="32"/>
  <c r="J6" i="34"/>
  <c r="M19" i="34"/>
  <c r="J7" i="34"/>
  <c r="M21" i="34"/>
  <c r="J10" i="32"/>
  <c r="L17" i="34"/>
  <c r="K13" i="34"/>
  <c r="J23" i="34"/>
  <c r="L29" i="34"/>
  <c r="J16" i="34"/>
  <c r="J16" i="32"/>
  <c r="K22" i="34"/>
  <c r="M37" i="34"/>
  <c r="L30" i="34"/>
  <c r="K31" i="34"/>
  <c r="J36" i="34"/>
  <c r="J30" i="32"/>
  <c r="L6" i="34"/>
  <c r="J14" i="34"/>
  <c r="M17" i="34"/>
  <c r="J11" i="34"/>
  <c r="L13" i="34"/>
  <c r="J6" i="32"/>
  <c r="J33" i="34"/>
  <c r="K12" i="34"/>
  <c r="J11" i="32"/>
  <c r="L19" i="34"/>
  <c r="J14" i="32"/>
  <c r="L34" i="34"/>
  <c r="K19" i="34"/>
  <c r="J24" i="32"/>
  <c r="L10" i="34"/>
  <c r="A6" i="34"/>
  <c r="M38" i="34"/>
  <c r="L32" i="34"/>
  <c r="K33" i="34"/>
  <c r="J25" i="34"/>
  <c r="J36" i="32"/>
  <c r="K38" i="34"/>
  <c r="K9" i="34"/>
  <c r="K7" i="34"/>
  <c r="K10" i="34"/>
  <c r="L15" i="34"/>
  <c r="J6" i="30"/>
  <c r="M29" i="34"/>
  <c r="J12" i="32"/>
  <c r="K14" i="34"/>
  <c r="J9" i="34"/>
  <c r="J29" i="34"/>
  <c r="L27" i="34"/>
  <c r="J30" i="34"/>
  <c r="J21" i="34"/>
  <c r="M7" i="34"/>
  <c r="M6" i="34"/>
  <c r="L33" i="34"/>
  <c r="K35" i="34"/>
  <c r="J18" i="34"/>
  <c r="J38" i="32"/>
  <c r="M11" i="34"/>
  <c r="M15" i="34"/>
  <c r="K6" i="34"/>
  <c r="J35" i="34"/>
  <c r="L11" i="34"/>
  <c r="J23" i="32"/>
  <c r="J7" i="32"/>
  <c r="K11" i="34"/>
  <c r="M23" i="34"/>
  <c r="J31" i="34"/>
  <c r="J28" i="34"/>
  <c r="L22" i="34"/>
  <c r="J13" i="32"/>
  <c r="J20" i="34"/>
  <c r="J17" i="32"/>
  <c r="K36" i="34"/>
  <c r="L25" i="34"/>
  <c r="K23" i="34"/>
  <c r="J28" i="32"/>
  <c r="K15" i="34"/>
  <c r="K27" i="34"/>
  <c r="J31" i="32"/>
  <c r="K16" i="34"/>
  <c r="L8" i="34"/>
  <c r="J26" i="34"/>
  <c r="K29" i="34"/>
  <c r="J26" i="32"/>
  <c r="L31" i="34"/>
  <c r="J27" i="32"/>
  <c r="J19" i="34"/>
  <c r="K8" i="34"/>
  <c r="J35" i="32"/>
  <c r="K17" i="34"/>
  <c r="J25" i="32"/>
  <c r="J13" i="34"/>
  <c r="L12" i="34"/>
  <c r="J37" i="32"/>
  <c r="K18" i="34"/>
  <c r="J22" i="32"/>
  <c r="J34" i="32"/>
  <c r="M36" i="34"/>
  <c r="K24" i="34"/>
  <c r="L21" i="34"/>
  <c r="L35" i="34"/>
  <c r="K34" i="34"/>
  <c r="M8" i="34"/>
  <c r="J19" i="32"/>
  <c r="J38" i="34"/>
  <c r="L16" i="34"/>
  <c r="J15" i="34"/>
  <c r="J24" i="34"/>
  <c r="J32" i="32"/>
  <c r="M12" i="34"/>
  <c r="J18" i="32"/>
  <c r="J27" i="34"/>
  <c r="M14" i="34"/>
  <c r="M16" i="34"/>
  <c r="K20" i="34"/>
  <c r="J34" i="34"/>
  <c r="J29" i="32"/>
  <c r="M18" i="34"/>
  <c r="L36" i="34"/>
  <c r="J20" i="32"/>
  <c r="M20" i="34"/>
  <c r="M22" i="34"/>
  <c r="L9" i="34"/>
  <c r="K21" i="34"/>
  <c r="J32" i="34"/>
  <c r="K37" i="34"/>
  <c r="M24" i="34"/>
  <c r="J8" i="32"/>
  <c r="M25" i="34"/>
  <c r="L14" i="34"/>
  <c r="M26" i="34"/>
  <c r="M28" i="34"/>
  <c r="L18" i="34"/>
  <c r="K25" i="34"/>
  <c r="J22" i="34"/>
  <c r="J21" i="32"/>
  <c r="L37" i="34"/>
  <c r="M30" i="34"/>
  <c r="M33" i="34"/>
  <c r="L23" i="34"/>
  <c r="K28" i="34"/>
  <c r="J10" i="34"/>
  <c r="J37" i="34"/>
  <c r="M34" i="34"/>
  <c r="L26" i="34"/>
  <c r="K30" i="34"/>
  <c r="J17" i="34"/>
  <c r="M9" i="34"/>
  <c r="M32" i="34"/>
  <c r="K32" i="34"/>
  <c r="J12" i="34"/>
  <c r="M10" i="34"/>
  <c r="L20" i="34"/>
  <c r="M27" i="34"/>
  <c r="L24" i="34"/>
  <c r="M35" i="34"/>
  <c r="M13" i="34"/>
  <c r="J20" i="30"/>
  <c r="J30" i="6"/>
  <c r="J14" i="30"/>
  <c r="A6" i="6"/>
  <c r="J22" i="30"/>
  <c r="J33" i="6"/>
  <c r="J7" i="30"/>
  <c r="J10" i="6"/>
  <c r="J24" i="30"/>
  <c r="J34" i="6"/>
  <c r="J9" i="6"/>
  <c r="J19" i="6"/>
  <c r="J34" i="30"/>
  <c r="J23" i="6"/>
  <c r="J38" i="30"/>
  <c r="E4" i="14"/>
  <c r="J25" i="30"/>
  <c r="J35" i="6"/>
  <c r="J30" i="30"/>
  <c r="J32" i="30"/>
  <c r="J27" i="6"/>
  <c r="J27" i="30"/>
  <c r="J37" i="6"/>
  <c r="J6" i="6"/>
  <c r="J11" i="6"/>
  <c r="J15" i="6"/>
  <c r="J17" i="30"/>
  <c r="D5" i="14"/>
  <c r="J36" i="30"/>
  <c r="J25" i="6"/>
  <c r="J10" i="30"/>
  <c r="J12" i="6"/>
  <c r="J21" i="6"/>
  <c r="J31" i="6"/>
  <c r="A6" i="32"/>
  <c r="E3" i="14"/>
  <c r="J29" i="6"/>
  <c r="J12" i="30"/>
  <c r="J7" i="6"/>
  <c r="J24" i="6"/>
  <c r="D4" i="14"/>
  <c r="A6" i="30"/>
  <c r="A6" i="4"/>
  <c r="J18" i="6"/>
  <c r="J28" i="6"/>
  <c r="J19" i="30"/>
  <c r="E5" i="14"/>
  <c r="J21" i="30"/>
  <c r="D3" i="14"/>
  <c r="J23" i="30"/>
  <c r="J32" i="6"/>
  <c r="J26" i="30"/>
  <c r="J36" i="6"/>
  <c r="J28" i="30"/>
  <c r="J38" i="6"/>
  <c r="J29" i="30"/>
  <c r="J8" i="6"/>
  <c r="J31" i="30"/>
  <c r="J33" i="30"/>
  <c r="J35" i="30"/>
  <c r="J13" i="6"/>
  <c r="J14" i="6"/>
  <c r="J16" i="6"/>
  <c r="J37" i="30"/>
  <c r="J8" i="30"/>
  <c r="J17" i="6"/>
  <c r="J9" i="30"/>
  <c r="J11" i="30"/>
  <c r="J20" i="6"/>
  <c r="J22" i="6"/>
  <c r="J13" i="30"/>
  <c r="J15" i="30"/>
  <c r="J26" i="6"/>
  <c r="J16" i="30"/>
  <c r="J18" i="30"/>
  <c r="H2" i="38" l="1"/>
  <c r="E36" i="38"/>
  <c r="I40" i="37"/>
  <c r="K40" i="34"/>
  <c r="M40" i="34"/>
  <c r="I40" i="32"/>
  <c r="L40" i="34"/>
  <c r="I40" i="34"/>
  <c r="I40" i="6"/>
  <c r="I40" i="30"/>
  <c r="D2" i="14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4CA5A9F9-9AA4-415C-8ED5-6941719EFBF5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763B6665-5FB0-44B1-8A11-98C754FB4623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C7ABB53-F2E7-451D-8E7C-1AF9E9982B7F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BB40DF19-B8D4-44F2-BFE2-028F6C865C14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B2E173E2-7AC9-4D60-BD09-1D7B583CB452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F6BEBA38-B286-4A94-B391-E6D277CD158C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文杰</author>
  </authors>
  <commentList>
    <comment ref="C2" authorId="0" shapeId="0" xr:uid="{FD1EC37A-FDE1-4D4C-A956-94525A009C74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DEF1AA6-FBE9-47FC-BDBC-943D5C19CE13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F7" authorId="1" shapeId="0" xr:uid="{EFD42288-1551-4ED0-AFBA-1BBE04FA6FAE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文杰</author>
  </authors>
  <commentList>
    <comment ref="E2" authorId="0" shapeId="0" xr:uid="{54718060-171C-4DDC-BAB5-0CCEDE9C485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66BCA-5BD3-456F-9FFF-27CC9FB6CD19}" keepAlive="1" name="查询 - 中概互联实时折溢价" description="与工作簿中“中概互联实时折溢价”查询的连接。" type="5" refreshedVersion="0" background="1">
    <dbPr connection="Provider=Microsoft.Mashup.OleDb.1;Data Source=$Workbook$;Location=中概互联实时折溢价;Extended Properties=&quot;&quot;" command="SELECT * FROM [中概互联实时折溢价]"/>
  </connection>
  <connection id="2" xr16:uid="{FA4A072D-79EE-4F7E-AC6F-47D8CFDDD60D}" keepAlive="1" name="查询 - 中概互联实时折溢价 (2)" description="与工作簿中“中概互联实时折溢价 (2)”查询的连接。" type="5" refreshedVersion="0" background="1">
    <dbPr connection="Provider=Microsoft.Mashup.OleDb.1;Data Source=$Workbook$;Location=&quot;中概互联实时折溢价 (2)&quot;;Extended Properties=&quot;&quot;" command="SELECT * FROM [中概互联实时折溢价 (2)]"/>
  </connection>
  <connection id="3" xr16:uid="{E4F383B0-0C1A-4C41-BCDE-BB8A974D1351}" keepAlive="1" name="查询 - 中概互联实时折溢价 (3)" description="与工作簿中“中概互联实时折溢价 (3)”查询的连接。" type="5" refreshedVersion="8" background="1" saveData="1">
    <dbPr connection="Provider=Microsoft.Mashup.OleDb.1;Data Source=$Workbook$;Location=&quot;中概互联实时折溢价 (3)&quot;;Extended Properties=&quot;&quot;" command="SELECT * FROM [中概互联实时折溢价 (3)]"/>
  </connection>
  <connection id="4" xr16:uid="{81B188D3-FE78-4110-974C-9044EA815DDC}" keepAlive="1" name="查询 - 中概互联实时折溢价 (4)" description="与工作簿中“中概互联实时折溢价 (4)”查询的连接。" type="5" refreshedVersion="8" background="1" saveData="1">
    <dbPr connection="Provider=Microsoft.Mashup.OleDb.1;Data Source=$Workbook$;Location=&quot;中概互联实时折溢价 (4)&quot;;Extended Properties=&quot;&quot;" command="SELECT * FROM [中概互联实时折溢价 (4)]"/>
  </connection>
  <connection id="5" xr16:uid="{23A92740-4E40-411C-855C-C92A3F9C7490}" keepAlive="1" name="查询 - 中概互联实时折溢价 (5)" description="与工作簿中“中概互联实时折溢价 (5)”查询的连接。" type="5" refreshedVersion="0" background="1">
    <dbPr connection="Provider=Microsoft.Mashup.OleDb.1;Data Source=$Workbook$;Location=&quot;中概互联实时折溢价 (5)&quot;;Extended Properties=&quot;&quot;" command="SELECT * FROM [中概互联实时折溢价 (5)]"/>
  </connection>
  <connection id="6" xr16:uid="{277EE637-C334-4013-8AE6-AB16BEE2158E}" keepAlive="1" name="查询 - 中概互联实时折溢价 (6)" description="与工作簿中“中概互联实时折溢价 (6)”查询的连接。" type="5" refreshedVersion="0" background="1">
    <dbPr connection="Provider=Microsoft.Mashup.OleDb.1;Data Source=$Workbook$;Location=&quot;中概互联实时折溢价 (6)&quot;;Extended Properties=&quot;&quot;" command="SELECT * FROM [中概互联实时折溢价 (6)]"/>
  </connection>
</connections>
</file>

<file path=xl/sharedStrings.xml><?xml version="1.0" encoding="utf-8"?>
<sst xmlns="http://schemas.openxmlformats.org/spreadsheetml/2006/main" count="1029" uniqueCount="356">
  <si>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</si>
  <si>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</si>
  <si>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</si>
  <si>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</si>
  <si>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</si>
  <si>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</si>
  <si>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</si>
  <si>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</si>
  <si>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</si>
  <si>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</si>
  <si>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</si>
  <si>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</si>
  <si>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</si>
  <si>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</si>
  <si>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</si>
  <si>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</si>
  <si>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</si>
  <si>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</si>
  <si>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</si>
  <si>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</si>
  <si>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</si>
  <si>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</si>
  <si>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</si>
  <si>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</si>
  <si>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</si>
  <si>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</si>
  <si>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</si>
  <si>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</si>
  <si>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</si>
  <si>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</si>
  <si>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</si>
  <si>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</si>
  <si>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</si>
  <si>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</si>
  <si>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</si>
  <si>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</si>
  <si>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</si>
  <si>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</si>
  <si>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</si>
  <si>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</si>
  <si>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</si>
  <si>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</si>
  <si>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</si>
  <si>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</si>
  <si>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</si>
  <si>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</si>
  <si>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</si>
  <si>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</si>
  <si>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</si>
  <si>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</si>
  <si>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</si>
  <si>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</si>
  <si>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</si>
  <si>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</si>
  <si>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</si>
  <si>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</si>
  <si>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</si>
  <si>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</si>
  <si>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</si>
  <si>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</si>
  <si>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</si>
  <si>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</si>
  <si>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</si>
  <si>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</si>
  <si>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</si>
  <si>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</si>
  <si>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</si>
  <si>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</si>
  <si>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</si>
  <si>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</si>
  <si>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</si>
  <si>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</si>
  <si>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</si>
  <si>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</si>
  <si>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</si>
  <si>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</si>
  <si>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</si>
  <si>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</si>
  <si>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</si>
  <si>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</si>
  <si>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</si>
  <si>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</si>
  <si>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</si>
  <si>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</si>
  <si>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</si>
  <si>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</si>
  <si>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</si>
  <si>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</si>
  <si>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</si>
  <si>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</si>
  <si>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</si>
  <si>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</si>
  <si>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</si>
  <si>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</si>
  <si>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</si>
  <si>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</si>
  <si>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</si>
  <si>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</si>
  <si>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</si>
  <si>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</si>
  <si>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</si>
  <si>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</si>
  <si>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</si>
  <si>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</si>
  <si>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</si>
  <si>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</si>
  <si>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</si>
  <si>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</si>
  <si>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</si>
  <si>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</si>
  <si>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</si>
  <si>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</si>
  <si>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</si>
  <si>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</si>
  <si>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</si>
  <si>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</si>
  <si>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</si>
  <si>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</si>
  <si>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</si>
  <si>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</si>
  <si>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</si>
  <si>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</si>
  <si>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</si>
  <si>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</si>
  <si>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</si>
  <si>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</si>
  <si>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</si>
  <si>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</si>
  <si>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</si>
  <si>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</si>
  <si>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</si>
  <si>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</si>
  <si>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</si>
  <si>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</si>
  <si>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</si>
  <si>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</si>
  <si>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</si>
  <si>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</si>
  <si>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</si>
  <si>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</si>
  <si>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</si>
  <si>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</si>
  <si>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</si>
  <si>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</si>
  <si>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</si>
  <si>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</si>
  <si>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</si>
  <si>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</si>
  <si>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</si>
  <si>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</si>
  <si>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</si>
  <si>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</si>
  <si>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</si>
  <si>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</si>
  <si>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</si>
  <si>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</si>
  <si>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</si>
  <si>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</si>
  <si>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</si>
  <si>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</si>
  <si>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</si>
  <si>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</si>
  <si>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</si>
  <si>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</si>
  <si>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</si>
  <si>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</si>
  <si>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</si>
  <si>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</si>
  <si>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</si>
  <si>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</si>
  <si>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</si>
  <si>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</si>
  <si>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</si>
  <si>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</si>
  <si>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</si>
  <si>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</si>
  <si>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</si>
  <si>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</si>
  <si>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</si>
  <si>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</si>
  <si>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</si>
  <si>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</si>
  <si>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</si>
  <si>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</si>
  <si>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</si>
  <si>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</si>
  <si>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</si>
  <si>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</si>
  <si>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</si>
  <si>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</si>
  <si>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</si>
  <si>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</si>
  <si>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</si>
  <si>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</si>
  <si>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</si>
  <si>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</si>
  <si>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</si>
  <si>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</si>
  <si>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</si>
  <si>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</si>
  <si>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</si>
  <si>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</si>
  <si>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</si>
  <si>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</si>
  <si>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</si>
  <si>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</si>
  <si>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</si>
  <si>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</si>
  <si>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</si>
  <si>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</si>
  <si>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</si>
  <si>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</si>
  <si>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</si>
  <si>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</si>
  <si>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</si>
  <si>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</si>
  <si>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</si>
  <si>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</si>
  <si>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</si>
  <si>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</si>
  <si>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</si>
  <si>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</si>
  <si>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</si>
  <si>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</si>
  <si>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</si>
  <si>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</si>
  <si>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</si>
  <si>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</si>
  <si>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</si>
  <si>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</si>
  <si>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</si>
  <si>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</si>
  <si>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</si>
  <si>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</si>
  <si>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</si>
  <si>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</si>
  <si>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</si>
  <si>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</si>
  <si>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</si>
  <si>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</si>
  <si>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</si>
  <si>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</si>
  <si>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</si>
  <si>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</si>
  <si>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</si>
  <si>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</si>
  <si>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</si>
  <si>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</si>
  <si>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</si>
  <si>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</si>
  <si>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</si>
  <si>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</si>
  <si>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</si>
  <si>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</si>
  <si>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</si>
  <si>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</si>
  <si>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</si>
  <si>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</si>
  <si>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</si>
  <si>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</si>
  <si>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</si>
  <si>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</si>
  <si>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</si>
  <si>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</si>
  <si>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</si>
  <si>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</si>
  <si>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</si>
  <si>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</si>
  <si>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</si>
  <si>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</si>
  <si>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</si>
  <si>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</si>
  <si>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</si>
  <si>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</si>
  <si>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</si>
  <si>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</si>
  <si>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</si>
  <si>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</si>
  <si>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</si>
  <si>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</si>
  <si>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</si>
  <si>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</si>
  <si>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</si>
  <si>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</si>
  <si>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</si>
  <si>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</si>
  <si>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</si>
  <si>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</si>
  <si>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</si>
  <si>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</si>
  <si>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</si>
  <si>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</si>
  <si>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</si>
  <si>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</si>
  <si>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</si>
  <si>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</si>
  <si>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</si>
  <si>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</si>
  <si>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</si>
  <si>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</si>
  <si>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</si>
  <si>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</si>
  <si>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</si>
  <si>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</si>
  <si>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</si>
  <si>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</si>
  <si>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</si>
  <si>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</si>
  <si>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</si>
  <si>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</si>
  <si>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</si>
  <si>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</si>
  <si>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</si>
  <si>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</si>
  <si>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</si>
  <si>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</si>
  <si>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</si>
  <si>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</si>
  <si>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</si>
  <si>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</si>
  <si>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</si>
  <si>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</si>
  <si>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2024-07-16</t>
    <phoneticPr fontId="4" type="noConversion"/>
  </si>
  <si>
    <t>2024-07-17</t>
    <phoneticPr fontId="4" type="noConversion"/>
  </si>
  <si>
    <t>2024-07-15</t>
    <phoneticPr fontId="4" type="noConversion"/>
  </si>
  <si>
    <t>数据集名称</t>
    <phoneticPr fontId="1" type="noConversion"/>
  </si>
  <si>
    <t>列4</t>
  </si>
  <si>
    <t>列5</t>
  </si>
  <si>
    <t>列1</t>
    <phoneticPr fontId="1" type="noConversion"/>
  </si>
  <si>
    <t>列2</t>
    <phoneticPr fontId="1" type="noConversion"/>
  </si>
  <si>
    <t>列3</t>
    <phoneticPr fontId="1" type="noConversion"/>
  </si>
  <si>
    <t>收盘价</t>
    <phoneticPr fontId="1" type="noConversion"/>
  </si>
  <si>
    <t>总NAV</t>
    <phoneticPr fontId="1" type="noConversion"/>
  </si>
  <si>
    <r>
      <rPr>
        <sz val="10"/>
        <rFont val="宋体"/>
        <family val="2"/>
        <charset val="134"/>
      </rPr>
      <t>总</t>
    </r>
    <r>
      <rPr>
        <sz val="10"/>
        <rFont val="Arial"/>
        <family val="2"/>
      </rPr>
      <t>NAV</t>
    </r>
    <phoneticPr fontId="1" type="noConversion"/>
  </si>
  <si>
    <t>列6</t>
  </si>
  <si>
    <t>列6</t>
    <phoneticPr fontId="1" type="noConversion"/>
  </si>
  <si>
    <t>列1</t>
  </si>
  <si>
    <t>列2</t>
  </si>
  <si>
    <t>列3</t>
  </si>
  <si>
    <t>列7</t>
  </si>
  <si>
    <t>列8</t>
  </si>
  <si>
    <t>2024-07-12</t>
    <phoneticPr fontId="4" type="noConversion"/>
  </si>
  <si>
    <t>7.12收盘价</t>
    <phoneticPr fontId="1" type="noConversion"/>
  </si>
  <si>
    <r>
      <t>7.11</t>
    </r>
    <r>
      <rPr>
        <sz val="10"/>
        <rFont val="宋体"/>
        <family val="3"/>
        <charset val="134"/>
      </rPr>
      <t>收盘价</t>
    </r>
    <phoneticPr fontId="1" type="noConversion"/>
  </si>
  <si>
    <r>
      <t>7.15</t>
    </r>
    <r>
      <rPr>
        <sz val="10"/>
        <rFont val="宋体"/>
        <family val="2"/>
        <charset val="134"/>
      </rPr>
      <t>收盘价</t>
    </r>
    <phoneticPr fontId="1" type="noConversion"/>
  </si>
  <si>
    <r>
      <t>7.10</t>
    </r>
    <r>
      <rPr>
        <sz val="10"/>
        <rFont val="宋体"/>
        <family val="2"/>
        <charset val="134"/>
      </rPr>
      <t>收盘价</t>
    </r>
    <phoneticPr fontId="1" type="noConversion"/>
  </si>
  <si>
    <t>0241.HK</t>
  </si>
  <si>
    <t>2024-07-10</t>
    <phoneticPr fontId="4" type="noConversion"/>
  </si>
  <si>
    <t>Date</t>
  </si>
  <si>
    <t>收盘价</t>
  </si>
  <si>
    <t>close</t>
  </si>
  <si>
    <t>退补</t>
    <phoneticPr fontId="1" type="noConversion"/>
  </si>
  <si>
    <t>固定替代金额</t>
    <phoneticPr fontId="1" type="noConversion"/>
  </si>
  <si>
    <t>固定替代金额（7.12）</t>
    <phoneticPr fontId="1" type="noConversion"/>
  </si>
  <si>
    <r>
      <rPr>
        <sz val="10"/>
        <rFont val="宋体"/>
        <family val="2"/>
        <charset val="134"/>
      </rPr>
      <t>总</t>
    </r>
    <r>
      <rPr>
        <sz val="10"/>
        <rFont val="Arial"/>
        <family val="2"/>
      </rPr>
      <t>NAV</t>
    </r>
    <r>
      <rPr>
        <sz val="10"/>
        <rFont val="宋体"/>
        <family val="2"/>
        <charset val="134"/>
      </rPr>
      <t>（估算）</t>
    </r>
    <phoneticPr fontId="1" type="noConversion"/>
  </si>
  <si>
    <r>
      <t>总</t>
    </r>
    <r>
      <rPr>
        <sz val="10"/>
        <rFont val="Arial"/>
        <family val="2"/>
      </rPr>
      <t>NAV</t>
    </r>
    <r>
      <rPr>
        <sz val="10"/>
        <rFont val="宋体"/>
        <family val="3"/>
        <charset val="134"/>
      </rPr>
      <t>（实际）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</si>
</sst>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##,###,##0.00000"/>
  </numFmts>
  <fonts count="22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sz val="10"/>
      <name val="宋体"/>
      <family val="2"/>
      <charset val="134"/>
    </font>
    <font>
      <sz val="10"/>
      <name val="Arial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Arial"/>
      <family val="2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8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5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3" fontId="8" fillId="2" borderId="0" xfId="0" applyNumberFormat="1" applyFont="1" applyFill="1" applyAlignment="1">
      <alignment horizontal="center" vertical="center"/>
    </xf>
    <xf numFmtId="183" fontId="8" fillId="2" borderId="0" xfId="0" applyNumberFormat="1" applyFont="1" applyFill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87" fontId="8" fillId="0" borderId="0" xfId="0" applyNumberFormat="1" applyFont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83" fontId="0" fillId="2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86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6" borderId="0" xfId="0" applyNumberFormat="1" applyFill="1" applyAlignment="1">
      <alignment horizontal="right" vertical="center"/>
    </xf>
    <xf numFmtId="180" fontId="0" fillId="6" borderId="0" xfId="0" applyNumberFormat="1" applyFill="1" applyAlignment="1">
      <alignment horizontal="right" vertical="center"/>
    </xf>
    <xf numFmtId="3" fontId="0" fillId="6" borderId="0" xfId="0" applyNumberFormat="1" applyFill="1" applyAlignment="1">
      <alignment horizontal="right" vertical="center"/>
    </xf>
    <xf numFmtId="183" fontId="0" fillId="6" borderId="0" xfId="0" applyNumberFormat="1" applyFill="1" applyAlignment="1">
      <alignment horizontal="righ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183" fontId="19" fillId="2" borderId="1" xfId="0" applyNumberFormat="1" applyFont="1" applyFill="1" applyBorder="1" applyAlignment="1">
      <alignment horizontal="center" vertical="center"/>
    </xf>
    <xf numFmtId="183" fontId="20" fillId="2" borderId="1" xfId="0" applyNumberFormat="1" applyFont="1" applyFill="1" applyBorder="1" applyAlignment="1">
      <alignment horizontal="center" vertical="center"/>
    </xf>
    <xf numFmtId="183" fontId="20" fillId="6" borderId="1" xfId="0" applyNumberFormat="1" applyFont="1" applyFill="1" applyBorder="1" applyAlignment="1">
      <alignment horizontal="center" vertical="center"/>
    </xf>
    <xf numFmtId="180" fontId="0" fillId="7" borderId="0" xfId="0" applyNumberFormat="1" applyFill="1" applyAlignment="1">
      <alignment horizontal="center" vertical="center"/>
    </xf>
    <xf numFmtId="3" fontId="19" fillId="2" borderId="1" xfId="0" applyNumberFormat="1" applyFont="1" applyFill="1" applyBorder="1" applyAlignment="1">
      <alignment horizontal="center" vertical="center"/>
    </xf>
    <xf numFmtId="3" fontId="20" fillId="2" borderId="1" xfId="0" applyNumberFormat="1" applyFont="1" applyFill="1" applyBorder="1" applyAlignment="1">
      <alignment horizontal="center" vertical="center"/>
    </xf>
    <xf numFmtId="3" fontId="20" fillId="6" borderId="1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2">
    <cellStyle name="百分比" xfId="1" builtinId="5"/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numFmt numFmtId="177" formatCode="0.0000"/>
      <alignment horizontal="center" vertical="center" textRotation="0" wrapText="0" indent="0" justifyLastLine="0" shrinkToFit="0" readingOrder="0"/>
    </dxf>
    <dxf>
      <numFmt numFmtId="183" formatCode="#,##0.######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80" formatCode="yyyy\-mm\-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0.92920000000000003</v>
        <stp/>
        <stp>HKDCNY.IB</stp>
        <stp>Rt_Price</stp>
        <tr r="C2" s="26"/>
      </tp>
      <tp>
        <v>7.2547000000000006</v>
        <stp/>
        <stp>USDCNY.IB</stp>
        <stp>Rt_Price</stp>
        <tr r="B2" s="26"/>
      </tp>
      <tp>
        <v>1.522</v>
        <stp/>
        <stp>513100.SH</stp>
        <stp>Ask_Price1</stp>
        <tr r="B7" s="26"/>
      </tp>
      <tp>
        <v>1.056</v>
        <stp/>
        <stp>513050.SH</stp>
        <stp>Ask_Price1</stp>
        <tr r="B5" s="26"/>
      </tp>
      <tp>
        <v>1.5210000000000001</v>
        <stp/>
        <stp>513100.SH</stp>
        <stp>Bid_Price1</stp>
        <tr r="B8" s="26"/>
      </tp>
      <tp>
        <v>1.0549999999999999</v>
        <stp/>
        <stp>513050.SH</stp>
        <stp>Bid_Price1</stp>
        <tr r="B6" s="26"/>
      </tp>
      <tp>
        <v>1.36</v>
        <stp/>
        <stp>3690.HK</stp>
        <stp>PctChg</stp>
        <tr r="G3" s="26"/>
      </tp>
      <tp>
        <v>-1.6400000000000001</v>
        <stp/>
        <stp>0700.HK</stp>
        <stp>PctChg</stp>
        <tr r="G2" s="26"/>
      </tp>
      <tp>
        <v>2.69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f_nav_unit"/>
      <definedName name="s_dq_close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4C02831-9CE8-401C-A104-39CE7B4FB07A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数据集名称" tableColumnId="1"/>
      <queryTableField id="2" name="ETF申赎成分信息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10" dataBound="0" tableColumnId="8"/>
    </queryTableFields>
    <queryTableDeletedFields count="2">
      <deletedField name="Column8"/>
      <deletedField name="Column9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B88EE9-F456-4F34-B5EE-C55E39F082E6}" name="中概互联实时折溢价__3" displayName="中概互联实时折溢价__3" ref="A1:H40" tableType="queryTable" totalsRowShown="0" headerRowDxfId="31" dataDxfId="30">
  <autoFilter ref="A1:H40" xr:uid="{96B88EE9-F456-4F34-B5EE-C55E39F082E6}"/>
  <tableColumns count="8">
    <tableColumn id="1" xr3:uid="{8162B73F-783F-4F26-8AB3-06173D701CFA}" uniqueName="1" name="数据集名称" queryTableFieldId="1" dataDxfId="29"/>
    <tableColumn id="2" xr3:uid="{2E1ABDCB-BD5F-403F-8A4C-21F7405ACEA0}" uniqueName="2" name="ETF申赎成分信息" queryTableFieldId="2" dataDxfId="28"/>
    <tableColumn id="3" xr3:uid="{2372788F-B52E-4922-84AD-1314C94AC7B5}" uniqueName="3" name="列1" queryTableFieldId="3" dataDxfId="27"/>
    <tableColumn id="4" xr3:uid="{70871DD7-A816-4194-9AD7-CBC1725CA6CE}" uniqueName="4" name="列2" queryTableFieldId="4" dataDxfId="26"/>
    <tableColumn id="5" xr3:uid="{F8FF142D-EF12-44C5-88DA-B0FA7CDF8DD7}" uniqueName="5" name="列3" queryTableFieldId="5" dataDxfId="25"/>
    <tableColumn id="6" xr3:uid="{87707E07-C2B9-4EF0-BCBA-04012C51ECB1}" uniqueName="6" name="列4" queryTableFieldId="6" dataDxfId="24"/>
    <tableColumn id="7" xr3:uid="{33AA7408-D81F-468B-9CDE-018A55FF2656}" uniqueName="7" name="列5" queryTableFieldId="7" dataDxfId="23"/>
    <tableColumn id="8" xr3:uid="{A5AB035E-4F81-49D4-BA8C-4B74FE215A9D}" uniqueName="8" name="列6" queryTableFieldId="10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6143DD-91AD-4C22-BD9F-1374B89E770A}" name="中概互联实时折溢价__4" displayName="中概互联实时折溢价__4" ref="A1:J40" totalsRowShown="0" headerRowDxfId="21" dataDxfId="20">
  <autoFilter ref="A1:J40" xr:uid="{746143DD-91AD-4C22-BD9F-1374B89E770A}"/>
  <tableColumns count="10">
    <tableColumn id="1" xr3:uid="{82A59677-994B-4B18-9B31-A5C874AC5B3C}" name="数据集名称" dataDxfId="19"/>
    <tableColumn id="2" xr3:uid="{D667C0A7-C023-45B8-90E9-BFC31019B22F}" name="ETF申赎成分信息" dataDxfId="18"/>
    <tableColumn id="3" xr3:uid="{EDC664D5-F0B3-4F5A-B6E5-F38DB281A8B5}" name="列1" dataDxfId="17"/>
    <tableColumn id="4" xr3:uid="{31562C07-C2A3-41E5-A7FF-5255E3940301}" name="列2" dataDxfId="16"/>
    <tableColumn id="5" xr3:uid="{198E1F0B-A3E3-45B3-91F5-F9DEBC6579E4}" name="列3" dataDxfId="15"/>
    <tableColumn id="6" xr3:uid="{0B8AFAA2-CCB6-441C-A509-6CEC76E84507}" name="列4" dataDxfId="14"/>
    <tableColumn id="7" xr3:uid="{15E23FF6-17D4-49C9-8217-81099D59BC39}" name="列5" dataDxfId="13"/>
    <tableColumn id="8" xr3:uid="{CA705DE8-4FF2-420B-9E9E-1CE253DCAAA1}" name="列6" dataDxfId="12"/>
    <tableColumn id="9" xr3:uid="{10DD50F8-22B5-4B34-99DC-6013F59F3E11}" name="列7" dataDxfId="11"/>
    <tableColumn id="10" xr3:uid="{8F7DF434-068A-4D18-A119-D0D356D81406}" name="列8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3" t="s">
        <v>307</v>
      </c>
      <c r="B2" s="39">
        <f>RTD("wdf.rtq",,"USDCNY.IB","Rt_Price")</f>
        <v>7.2547000000000006</v>
      </c>
      <c r="C2" s="39">
        <f>RTD("wdf.rtq",,"HKDCNY.IB","Rt_Price")</f>
        <v>0.92920000000000003</v>
      </c>
      <c r="F2" s="34" t="s">
        <v>155</v>
      </c>
      <c r="G2" s="72">
        <f>RTD("wdf.rtq",,"0700.HK","PctChg")/100-0</f>
        <v>-1.6400000000000001E-2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0"/>
      <c r="F3" s="34" t="s">
        <v>156</v>
      </c>
      <c r="G3" s="72">
        <f>RTD("wdf.rtq",,"3690.HK","PctChg")/100-0</f>
        <v>1.3600000000000001E-2</v>
      </c>
      <c r="H3" s="35" t="e">
        <f>B5*H2/C2*J3/'7.15 513050'!#REF!</f>
        <v>#REF!</v>
      </c>
      <c r="I3" s="35" t="e">
        <f t="shared" ref="I3:I9" si="0">H3*2</f>
        <v>#REF!</v>
      </c>
      <c r="J3" s="42" t="e">
        <f>'7.15 513050'!#REF!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73" t="s">
        <v>310</v>
      </c>
      <c r="E4" s="60"/>
      <c r="F4" s="34" t="s">
        <v>175</v>
      </c>
      <c r="G4" s="72">
        <f>RTD("wdf.rtq",,"1810.HK","PctChg")/100-0</f>
        <v>2.69E-2</v>
      </c>
      <c r="H4" s="35" t="e">
        <f>B5*H2/C2*J4/'7.15 513050'!#REF!</f>
        <v>#REF!</v>
      </c>
      <c r="I4" s="35" t="e">
        <f t="shared" si="0"/>
        <v>#REF!</v>
      </c>
      <c r="J4" s="42" t="e">
        <f>'7.15 513050'!#REF!</f>
        <v>#REF!</v>
      </c>
      <c r="K4" s="40"/>
    </row>
    <row r="5" spans="1:11" ht="15" customHeight="1" x14ac:dyDescent="0.25">
      <c r="A5" s="43" t="s">
        <v>134</v>
      </c>
      <c r="B5" s="74">
        <f>RTD("wdf.rtq",,A5,"Ask_Price1")-0</f>
        <v>1.056</v>
      </c>
      <c r="C5" s="75" t="e">
        <f>'7.15 513050'!#REF!</f>
        <v>#REF!</v>
      </c>
      <c r="D5" s="73"/>
      <c r="E5" s="39"/>
      <c r="G5" s="37" t="s">
        <v>312</v>
      </c>
      <c r="H5" s="35" t="e">
        <f>B5*H2/C2*J5/'7.15 513050'!#REF!</f>
        <v>#REF!</v>
      </c>
      <c r="I5" s="35" t="e">
        <f t="shared" si="0"/>
        <v>#REF!</v>
      </c>
      <c r="J5" s="42" t="e">
        <f>'7.15 513050'!#REF!</f>
        <v>#REF!</v>
      </c>
      <c r="K5" s="40"/>
    </row>
    <row r="6" spans="1:11" ht="15" customHeight="1" x14ac:dyDescent="0.25">
      <c r="A6" s="44" t="s">
        <v>141</v>
      </c>
      <c r="B6" s="74">
        <f>RTD("wdf.rtq",,A5,"Bid_Price1")-0</f>
        <v>1.0549999999999999</v>
      </c>
      <c r="C6" s="75" t="e">
        <f>'7.15 513050'!#REF!</f>
        <v>#REF!</v>
      </c>
      <c r="D6" s="76" t="e">
        <f>'7.15 513050'!#REF!</f>
        <v>#REF!</v>
      </c>
      <c r="F6" s="34" t="s">
        <v>168</v>
      </c>
      <c r="G6" s="72" t="e">
        <f>'7.15 513050'!#REF!</f>
        <v>#REF!</v>
      </c>
      <c r="H6" s="35" t="e">
        <f>B5*H2/C2*J6/'7.15 513050'!#REF!</f>
        <v>#REF!</v>
      </c>
      <c r="I6" s="35" t="e">
        <f t="shared" si="0"/>
        <v>#REF!</v>
      </c>
      <c r="J6" s="42" t="e">
        <f>'7.15 513050'!#REF!</f>
        <v>#REF!</v>
      </c>
      <c r="K6" s="40"/>
    </row>
    <row r="7" spans="1:11" ht="15" customHeight="1" x14ac:dyDescent="0.25">
      <c r="A7" s="45" t="s">
        <v>144</v>
      </c>
      <c r="B7" s="77">
        <f>RTD("wdf.rtq",,A7,"Ask_Price1")</f>
        <v>1.522</v>
      </c>
      <c r="C7" s="78" t="e">
        <f>纳指ETF折溢价!#REF!+0</f>
        <v>#REF!</v>
      </c>
      <c r="D7" s="73"/>
      <c r="E7" s="62"/>
      <c r="F7" s="34" t="s">
        <v>169</v>
      </c>
      <c r="G7" s="72" t="e">
        <f>'7.15 513050'!#REF!</f>
        <v>#REF!</v>
      </c>
      <c r="H7" s="35" t="e">
        <f>B5*H2/C2*J7/'7.15 513050'!#REF!</f>
        <v>#REF!</v>
      </c>
      <c r="I7" s="35" t="e">
        <f t="shared" si="0"/>
        <v>#REF!</v>
      </c>
      <c r="J7" s="42" t="e">
        <f>'7.15 513050'!#REF!</f>
        <v>#REF!</v>
      </c>
      <c r="K7" s="35"/>
    </row>
    <row r="8" spans="1:11" ht="15" customHeight="1" x14ac:dyDescent="0.25">
      <c r="A8" s="46" t="s">
        <v>161</v>
      </c>
      <c r="B8" s="77">
        <f>RTD("wdf.rtq",,A7,"Bid_Price1")</f>
        <v>1.5210000000000001</v>
      </c>
      <c r="C8" s="78" t="e">
        <f>纳指ETF折溢价!#REF!</f>
        <v>#REF!</v>
      </c>
      <c r="D8" s="76" t="e">
        <f>纳指ETF折溢价!#REF!</f>
        <v>#REF!</v>
      </c>
      <c r="E8" s="62"/>
      <c r="F8" s="34" t="s">
        <v>191</v>
      </c>
      <c r="G8" s="72" t="e">
        <f>'7.15 513050'!#REF!</f>
        <v>#REF!</v>
      </c>
      <c r="H8" s="35" t="e">
        <f>B5*H2/C2*J8/'7.15 513050'!#REF!</f>
        <v>#REF!</v>
      </c>
      <c r="I8" s="35" t="e">
        <f t="shared" si="0"/>
        <v>#REF!</v>
      </c>
      <c r="J8" s="42" t="e">
        <f>'7.15 513050'!#REF!</f>
        <v>#REF!</v>
      </c>
      <c r="K8" s="35"/>
    </row>
    <row r="9" spans="1:11" ht="15" customHeight="1" x14ac:dyDescent="0.25">
      <c r="F9" s="34" t="s">
        <v>160</v>
      </c>
      <c r="G9" s="72" t="e">
        <f>'7.15 513050'!#REF!</f>
        <v>#REF!</v>
      </c>
      <c r="H9" s="35" t="e">
        <f>B5*H2/C2*J9/'7.15 513050'!#REF!</f>
        <v>#REF!</v>
      </c>
      <c r="I9" s="35" t="e">
        <f t="shared" si="0"/>
        <v>#REF!</v>
      </c>
      <c r="J9" s="42" t="e">
        <f>'7.15 513050'!#REF!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7.2547000000000006</v>
      </c>
      <c r="E2" s="29">
        <f>监控界面!C2+0</f>
        <v>0.92920000000000003</v>
      </c>
      <c r="F2" s="13"/>
      <c r="G2" s="13"/>
      <c r="H2" s="59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54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7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54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54"/>
      <c r="D24" s="12"/>
      <c r="H24" s="15"/>
      <c r="I24" s="15"/>
    </row>
    <row r="26" spans="1:17" ht="17.5" x14ac:dyDescent="0.25">
      <c r="H26" s="15"/>
      <c r="I26" s="6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J40"/>
  <sheetViews>
    <sheetView zoomScaleNormal="100" workbookViewId="0">
      <selection activeCell="B4" sqref="B4"/>
    </sheetView>
  </sheetViews>
  <sheetFormatPr defaultColWidth="9.1796875" defaultRowHeight="13" x14ac:dyDescent="0.25"/>
  <cols>
    <col min="1" max="1" width="16.6328125" style="48" customWidth="1"/>
    <col min="2" max="2" width="9.6328125" style="48" customWidth="1"/>
    <col min="3" max="3" width="12.26953125" style="48" customWidth="1"/>
    <col min="4" max="4" width="9.6328125" style="48" customWidth="1"/>
    <col min="5" max="6" width="10.6328125" style="48" customWidth="1"/>
    <col min="7" max="7" width="11.6328125" style="48" customWidth="1"/>
    <col min="8" max="8" width="9" style="48" customWidth="1"/>
    <col min="9" max="9" width="12.81640625" style="97" customWidth="1"/>
    <col min="10" max="10" width="12.54296875" style="48" customWidth="1"/>
    <col min="11" max="11" width="15.7265625" style="48" customWidth="1"/>
    <col min="12" max="12" width="18.7265625" style="48" bestFit="1" customWidth="1"/>
    <col min="13" max="16" width="9.1796875" style="48"/>
    <col min="17" max="17" width="12.26953125" style="48" customWidth="1"/>
    <col min="18" max="16384" width="9.1796875" style="48"/>
  </cols>
  <sheetData>
    <row r="1" spans="1:10" ht="16" customHeight="1" x14ac:dyDescent="0.25">
      <c r="A1" s="64" t="s">
        <v>0</v>
      </c>
      <c r="B1" s="64" t="s">
        <v>314</v>
      </c>
      <c r="C1" s="64"/>
      <c r="I1" s="48"/>
    </row>
    <row r="2" spans="1:10" x14ac:dyDescent="0.25">
      <c r="A2" s="64" t="s">
        <v>229</v>
      </c>
      <c r="B2" s="82" t="s">
        <v>324</v>
      </c>
      <c r="C2" s="83"/>
      <c r="D2" s="84">
        <v>45488</v>
      </c>
      <c r="E2" s="48">
        <v>20240716</v>
      </c>
      <c r="F2" s="84">
        <v>45485</v>
      </c>
      <c r="I2" s="48"/>
    </row>
    <row r="3" spans="1:10" x14ac:dyDescent="0.25">
      <c r="A3" s="64" t="s">
        <v>3</v>
      </c>
      <c r="B3" s="82" t="s">
        <v>134</v>
      </c>
      <c r="I3" s="48"/>
    </row>
    <row r="4" spans="1:10" x14ac:dyDescent="0.25">
      <c r="A4" s="48" t="s">
        <v>4</v>
      </c>
      <c r="B4" s="82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  <c r="I4" s="48"/>
    </row>
    <row r="5" spans="1:10" ht="29" customHeight="1" x14ac:dyDescent="0.25">
      <c r="A5" s="64" t="s">
        <v>2</v>
      </c>
      <c r="B5" s="64" t="s">
        <v>3</v>
      </c>
      <c r="C5" s="64" t="s">
        <v>11</v>
      </c>
      <c r="D5" s="64" t="s">
        <v>12</v>
      </c>
      <c r="E5" s="64" t="s">
        <v>13</v>
      </c>
      <c r="F5" s="85" t="s">
        <v>14</v>
      </c>
      <c r="G5" s="64" t="s">
        <v>15</v>
      </c>
      <c r="H5" s="86"/>
      <c r="I5" s="48"/>
      <c r="J5" s="48" t="s">
        <v>331</v>
      </c>
    </row>
    <row r="6" spans="1:10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45488</v>
      </c>
      <c r="B6" s="49" t="s">
        <v>317</v>
      </c>
      <c r="C6" s="49" t="s">
        <v>321</v>
      </c>
      <c r="D6" s="53">
        <v>942</v>
      </c>
      <c r="E6" s="49" t="s">
        <v>320</v>
      </c>
      <c r="F6" s="53">
        <v>10</v>
      </c>
      <c r="G6" s="50">
        <v>2736.14</v>
      </c>
      <c r="H6" s="89"/>
      <c r="I6" s="48"/>
      <c r="J6" s="90">
        <f>[1]!s_dq_close(B6,$B$2,1)</f>
        <v>3.23</v>
      </c>
    </row>
    <row r="7" spans="1:10" x14ac:dyDescent="0.25">
      <c r="A7" s="51">
        <v>45488</v>
      </c>
      <c r="B7" s="49" t="s">
        <v>164</v>
      </c>
      <c r="C7" s="49" t="s">
        <v>165</v>
      </c>
      <c r="D7" s="53">
        <v>916</v>
      </c>
      <c r="E7" s="49" t="s">
        <v>16</v>
      </c>
      <c r="F7" s="53">
        <v>10</v>
      </c>
      <c r="G7" s="50">
        <v>321952.31</v>
      </c>
      <c r="H7" s="89"/>
      <c r="I7" s="48"/>
      <c r="J7" s="90">
        <f>[1]!s_dq_close(B7,$B$2,1)</f>
        <v>390.2</v>
      </c>
    </row>
    <row r="8" spans="1:10" x14ac:dyDescent="0.25">
      <c r="A8" s="51">
        <v>45488</v>
      </c>
      <c r="B8" s="49" t="s">
        <v>30</v>
      </c>
      <c r="C8" s="49" t="s">
        <v>31</v>
      </c>
      <c r="D8" s="53">
        <v>75</v>
      </c>
      <c r="E8" s="49" t="s">
        <v>16</v>
      </c>
      <c r="F8" s="53">
        <v>10</v>
      </c>
      <c r="G8" s="50">
        <v>1777.7</v>
      </c>
      <c r="H8" s="89"/>
      <c r="I8" s="48"/>
      <c r="J8" s="90">
        <f>[1]!s_dq_close(B8,$B$2,1)</f>
        <v>26.2</v>
      </c>
    </row>
    <row r="9" spans="1:10" x14ac:dyDescent="0.25">
      <c r="A9" s="55">
        <v>45488</v>
      </c>
      <c r="B9" s="56" t="s">
        <v>158</v>
      </c>
      <c r="C9" s="56" t="s">
        <v>243</v>
      </c>
      <c r="D9" s="57">
        <v>198</v>
      </c>
      <c r="E9" s="56" t="s">
        <v>16</v>
      </c>
      <c r="F9" s="57">
        <v>10</v>
      </c>
      <c r="G9" s="58">
        <v>2803.22</v>
      </c>
      <c r="H9" s="89"/>
      <c r="I9" s="48"/>
      <c r="J9" s="90">
        <f>[1]!s_dq_close(B9,$B$2,1)</f>
        <v>15</v>
      </c>
    </row>
    <row r="10" spans="1:10" x14ac:dyDescent="0.25">
      <c r="A10" s="55">
        <v>45488</v>
      </c>
      <c r="B10" s="56" t="s">
        <v>189</v>
      </c>
      <c r="C10" s="56" t="s">
        <v>190</v>
      </c>
      <c r="D10" s="57">
        <v>444</v>
      </c>
      <c r="E10" s="56" t="s">
        <v>16</v>
      </c>
      <c r="F10" s="57">
        <v>10</v>
      </c>
      <c r="G10" s="58">
        <v>19344.72</v>
      </c>
      <c r="H10" s="89"/>
      <c r="I10" s="48"/>
      <c r="J10" s="90">
        <f>[1]!s_dq_close(B10,$B$2,1)</f>
        <v>47.85</v>
      </c>
    </row>
    <row r="11" spans="1:10" x14ac:dyDescent="0.25">
      <c r="A11" s="55">
        <v>45488</v>
      </c>
      <c r="B11" s="56" t="s">
        <v>276</v>
      </c>
      <c r="C11" s="56" t="s">
        <v>277</v>
      </c>
      <c r="D11" s="57">
        <v>75</v>
      </c>
      <c r="E11" s="56" t="s">
        <v>16</v>
      </c>
      <c r="F11" s="57">
        <v>10</v>
      </c>
      <c r="G11" s="58">
        <v>809.73</v>
      </c>
      <c r="H11" s="89"/>
      <c r="I11" s="48"/>
      <c r="J11" s="90">
        <f>[1]!s_dq_close(B11,$B$2,1)</f>
        <v>11.58</v>
      </c>
    </row>
    <row r="12" spans="1:10" x14ac:dyDescent="0.25">
      <c r="A12" s="55">
        <v>45488</v>
      </c>
      <c r="B12" s="56" t="s">
        <v>172</v>
      </c>
      <c r="C12" s="56" t="s">
        <v>173</v>
      </c>
      <c r="D12" s="57">
        <v>2563</v>
      </c>
      <c r="E12" s="56" t="s">
        <v>16</v>
      </c>
      <c r="F12" s="57">
        <v>10</v>
      </c>
      <c r="G12" s="58">
        <v>39048.620000000003</v>
      </c>
      <c r="H12" s="89"/>
      <c r="I12" s="48"/>
      <c r="J12" s="90">
        <f>[1]!s_dq_close(B12,$B$2,1)</f>
        <v>16.46</v>
      </c>
    </row>
    <row r="13" spans="1:10" x14ac:dyDescent="0.25">
      <c r="A13" s="55">
        <v>45488</v>
      </c>
      <c r="B13" s="56" t="s">
        <v>166</v>
      </c>
      <c r="C13" s="56" t="s">
        <v>167</v>
      </c>
      <c r="D13" s="57">
        <v>98</v>
      </c>
      <c r="E13" s="56" t="s">
        <v>16</v>
      </c>
      <c r="F13" s="57">
        <v>10</v>
      </c>
      <c r="G13" s="58">
        <v>941.68</v>
      </c>
      <c r="H13" s="89"/>
      <c r="I13" s="48"/>
      <c r="J13" s="90">
        <f>[1]!s_dq_close(B13,$B$2,1)</f>
        <v>10.38</v>
      </c>
    </row>
    <row r="14" spans="1:10" x14ac:dyDescent="0.25">
      <c r="A14" s="55">
        <v>45488</v>
      </c>
      <c r="B14" s="56" t="s">
        <v>132</v>
      </c>
      <c r="C14" s="56" t="s">
        <v>179</v>
      </c>
      <c r="D14" s="57">
        <v>913</v>
      </c>
      <c r="E14" s="56" t="s">
        <v>16</v>
      </c>
      <c r="F14" s="57">
        <v>10</v>
      </c>
      <c r="G14" s="58">
        <v>96819.76</v>
      </c>
      <c r="H14" s="89"/>
      <c r="I14" s="48"/>
      <c r="J14" s="90">
        <f>[1]!s_dq_close(B14,$B$2,1)</f>
        <v>119.1</v>
      </c>
    </row>
    <row r="15" spans="1:10" x14ac:dyDescent="0.25">
      <c r="A15" s="55">
        <v>45488</v>
      </c>
      <c r="B15" s="56" t="s">
        <v>18</v>
      </c>
      <c r="C15" s="56" t="s">
        <v>19</v>
      </c>
      <c r="D15" s="57">
        <v>140</v>
      </c>
      <c r="E15" s="56" t="s">
        <v>16</v>
      </c>
      <c r="F15" s="57">
        <v>10</v>
      </c>
      <c r="G15" s="58">
        <v>2870.82</v>
      </c>
      <c r="H15" s="89"/>
      <c r="I15" s="48"/>
      <c r="J15" s="90">
        <f>[1]!s_dq_close(B15,$B$2,1)</f>
        <v>22.3</v>
      </c>
    </row>
    <row r="16" spans="1:10" x14ac:dyDescent="0.25">
      <c r="A16" s="55">
        <v>45488</v>
      </c>
      <c r="B16" s="56" t="s">
        <v>181</v>
      </c>
      <c r="C16" s="56" t="s">
        <v>182</v>
      </c>
      <c r="D16" s="57">
        <v>125</v>
      </c>
      <c r="E16" s="56" t="s">
        <v>16</v>
      </c>
      <c r="F16" s="57">
        <v>10</v>
      </c>
      <c r="G16" s="58">
        <v>1493.41</v>
      </c>
      <c r="H16" s="89"/>
      <c r="I16" s="48"/>
      <c r="J16" s="90">
        <f>[1]!s_dq_close(B16,$B$2,1)</f>
        <v>13</v>
      </c>
    </row>
    <row r="17" spans="1:10" x14ac:dyDescent="0.25">
      <c r="A17" s="55">
        <v>45488</v>
      </c>
      <c r="B17" s="56" t="s">
        <v>183</v>
      </c>
      <c r="C17" s="56" t="s">
        <v>184</v>
      </c>
      <c r="D17" s="57">
        <v>187</v>
      </c>
      <c r="E17" s="56" t="s">
        <v>16</v>
      </c>
      <c r="F17" s="57">
        <v>10</v>
      </c>
      <c r="G17" s="58">
        <v>3655.24</v>
      </c>
      <c r="H17" s="89"/>
      <c r="I17" s="48"/>
      <c r="J17" s="90">
        <f>[1]!s_dq_close(B17,$B$2,1)</f>
        <v>21.55</v>
      </c>
    </row>
    <row r="18" spans="1:10" x14ac:dyDescent="0.25">
      <c r="A18" s="55">
        <v>45488</v>
      </c>
      <c r="B18" s="56" t="s">
        <v>253</v>
      </c>
      <c r="C18" s="56" t="s">
        <v>254</v>
      </c>
      <c r="D18" s="57">
        <v>370</v>
      </c>
      <c r="E18" s="56" t="s">
        <v>16</v>
      </c>
      <c r="F18" s="57">
        <v>10</v>
      </c>
      <c r="G18" s="58">
        <v>36093.910000000003</v>
      </c>
      <c r="H18" s="89"/>
      <c r="I18" s="48"/>
      <c r="J18" s="90">
        <f>[1]!s_dq_close(B18,$B$2,1)</f>
        <v>106.7</v>
      </c>
    </row>
    <row r="19" spans="1:10" x14ac:dyDescent="0.25">
      <c r="A19" s="55">
        <v>45488</v>
      </c>
      <c r="B19" s="56" t="s">
        <v>255</v>
      </c>
      <c r="C19" s="56" t="s">
        <v>265</v>
      </c>
      <c r="D19" s="57">
        <v>42</v>
      </c>
      <c r="E19" s="56" t="s">
        <v>16</v>
      </c>
      <c r="F19" s="57">
        <v>10</v>
      </c>
      <c r="G19" s="58">
        <v>5152.12</v>
      </c>
      <c r="H19" s="89"/>
      <c r="I19" s="48"/>
      <c r="J19" s="90">
        <f>[1]!s_dq_close(B19,$B$2,1)</f>
        <v>125.5</v>
      </c>
    </row>
    <row r="20" spans="1:10" x14ac:dyDescent="0.25">
      <c r="A20" s="55">
        <v>45488</v>
      </c>
      <c r="B20" s="56" t="s">
        <v>302</v>
      </c>
      <c r="C20" s="56" t="s">
        <v>303</v>
      </c>
      <c r="D20" s="57">
        <v>56</v>
      </c>
      <c r="E20" s="56" t="s">
        <v>17</v>
      </c>
      <c r="F20" s="57">
        <v>0</v>
      </c>
      <c r="G20" s="58">
        <v>412.27</v>
      </c>
      <c r="H20" s="89"/>
      <c r="I20" s="48"/>
      <c r="J20" s="90">
        <f>[1]!s_dq_close(B20,$B$2,1)</f>
        <v>7.9</v>
      </c>
    </row>
    <row r="21" spans="1:10" x14ac:dyDescent="0.25">
      <c r="A21" s="55">
        <v>45488</v>
      </c>
      <c r="B21" s="56" t="s">
        <v>256</v>
      </c>
      <c r="C21" s="56" t="s">
        <v>257</v>
      </c>
      <c r="D21" s="57">
        <v>414</v>
      </c>
      <c r="E21" s="56" t="s">
        <v>16</v>
      </c>
      <c r="F21" s="57">
        <v>10</v>
      </c>
      <c r="G21" s="58">
        <v>36755.949999999997</v>
      </c>
      <c r="H21" s="89"/>
      <c r="I21" s="48"/>
      <c r="J21" s="90">
        <f>[1]!s_dq_close(B21,$B$2,1)</f>
        <v>93.95</v>
      </c>
    </row>
    <row r="22" spans="1:10" x14ac:dyDescent="0.25">
      <c r="A22" s="55">
        <v>45488</v>
      </c>
      <c r="B22" s="56" t="s">
        <v>304</v>
      </c>
      <c r="C22" s="56" t="s">
        <v>305</v>
      </c>
      <c r="D22" s="57">
        <v>31</v>
      </c>
      <c r="E22" s="56" t="s">
        <v>17</v>
      </c>
      <c r="F22" s="57">
        <v>0</v>
      </c>
      <c r="G22" s="58">
        <v>351.11</v>
      </c>
      <c r="H22" s="89"/>
      <c r="I22" s="48"/>
      <c r="J22" s="90">
        <f>[1]!s_dq_close(B22,$B$2,1)</f>
        <v>12.04</v>
      </c>
    </row>
    <row r="23" spans="1:10" x14ac:dyDescent="0.25">
      <c r="A23" s="55">
        <v>45488</v>
      </c>
      <c r="B23" s="56" t="s">
        <v>258</v>
      </c>
      <c r="C23" s="56" t="s">
        <v>259</v>
      </c>
      <c r="D23" s="57">
        <v>100</v>
      </c>
      <c r="E23" s="56" t="s">
        <v>16</v>
      </c>
      <c r="F23" s="57">
        <v>10</v>
      </c>
      <c r="G23" s="58">
        <v>35860.080000000002</v>
      </c>
      <c r="H23" s="89"/>
      <c r="I23" s="48"/>
      <c r="J23" s="90">
        <f>[1]!s_dq_close(B23,$B$2,1)</f>
        <v>388.4</v>
      </c>
    </row>
    <row r="24" spans="1:10" x14ac:dyDescent="0.25">
      <c r="A24" s="55">
        <v>45488</v>
      </c>
      <c r="B24" s="56" t="s">
        <v>260</v>
      </c>
      <c r="C24" s="56" t="s">
        <v>261</v>
      </c>
      <c r="D24" s="57">
        <v>3100</v>
      </c>
      <c r="E24" s="56" t="s">
        <v>16</v>
      </c>
      <c r="F24" s="57">
        <v>10</v>
      </c>
      <c r="G24" s="58">
        <v>213639.69</v>
      </c>
      <c r="H24" s="89"/>
      <c r="I24" s="48"/>
      <c r="J24" s="90">
        <f>[1]!s_dq_close(B24,$B$2,1)</f>
        <v>76.650000000000006</v>
      </c>
    </row>
    <row r="25" spans="1:10" x14ac:dyDescent="0.25">
      <c r="A25" s="55">
        <v>45488</v>
      </c>
      <c r="B25" s="56" t="s">
        <v>262</v>
      </c>
      <c r="C25" s="56" t="s">
        <v>263</v>
      </c>
      <c r="D25" s="57">
        <v>288</v>
      </c>
      <c r="E25" s="56" t="s">
        <v>16</v>
      </c>
      <c r="F25" s="57">
        <v>10</v>
      </c>
      <c r="G25" s="58">
        <v>37512.239999999998</v>
      </c>
      <c r="H25" s="89"/>
      <c r="I25" s="48"/>
      <c r="J25" s="90">
        <f>[1]!s_dq_close(B25,$B$2,1)</f>
        <v>144.9</v>
      </c>
    </row>
    <row r="26" spans="1:10" x14ac:dyDescent="0.25">
      <c r="A26" s="3">
        <v>45488</v>
      </c>
      <c r="B26" s="5" t="s">
        <v>20</v>
      </c>
      <c r="C26" s="5" t="s">
        <v>21</v>
      </c>
      <c r="D26" s="52">
        <v>11</v>
      </c>
      <c r="E26" s="5" t="s">
        <v>16</v>
      </c>
      <c r="F26" s="52">
        <v>10</v>
      </c>
      <c r="G26" s="20">
        <v>2206.66</v>
      </c>
      <c r="H26" s="89"/>
      <c r="I26" s="48"/>
      <c r="J26" s="90">
        <f>[1]!s_dq_close(B26,$B$2,1)</f>
        <v>27.36</v>
      </c>
    </row>
    <row r="27" spans="1:10" x14ac:dyDescent="0.25">
      <c r="A27" s="3">
        <v>45488</v>
      </c>
      <c r="B27" s="5" t="s">
        <v>174</v>
      </c>
      <c r="C27" s="5" t="s">
        <v>194</v>
      </c>
      <c r="D27" s="52">
        <v>108</v>
      </c>
      <c r="E27" s="5" t="s">
        <v>16</v>
      </c>
      <c r="F27" s="52">
        <v>10</v>
      </c>
      <c r="G27" s="20">
        <v>11803.47</v>
      </c>
      <c r="H27" s="89"/>
      <c r="I27" s="48"/>
      <c r="J27" s="90">
        <f>[1]!s_dq_close(B27,$B$2,1)</f>
        <v>14.75</v>
      </c>
    </row>
    <row r="28" spans="1:10" x14ac:dyDescent="0.25">
      <c r="A28" s="3">
        <v>45488</v>
      </c>
      <c r="B28" s="5" t="s">
        <v>231</v>
      </c>
      <c r="C28" s="5" t="s">
        <v>232</v>
      </c>
      <c r="D28" s="52">
        <v>65</v>
      </c>
      <c r="E28" s="5" t="s">
        <v>16</v>
      </c>
      <c r="F28" s="52">
        <v>10</v>
      </c>
      <c r="G28" s="20">
        <v>8791.82</v>
      </c>
      <c r="H28" s="89"/>
      <c r="I28" s="48"/>
      <c r="J28" s="90">
        <f>[1]!s_dq_close(B28,$B$2,1)</f>
        <v>17.690000000000001</v>
      </c>
    </row>
    <row r="29" spans="1:10" x14ac:dyDescent="0.25">
      <c r="A29" s="3">
        <v>45488</v>
      </c>
      <c r="B29" s="5" t="s">
        <v>29</v>
      </c>
      <c r="C29" s="5" t="s">
        <v>195</v>
      </c>
      <c r="D29" s="52">
        <v>46</v>
      </c>
      <c r="E29" s="5" t="s">
        <v>16</v>
      </c>
      <c r="F29" s="52">
        <v>10</v>
      </c>
      <c r="G29" s="20">
        <v>1338.89</v>
      </c>
      <c r="H29" s="89"/>
      <c r="I29" s="48"/>
      <c r="J29" s="90">
        <f>[1]!s_dq_close(B29,$B$2,1)</f>
        <v>3.79</v>
      </c>
    </row>
    <row r="30" spans="1:10" x14ac:dyDescent="0.25">
      <c r="A30" s="3">
        <v>45488</v>
      </c>
      <c r="B30" s="5" t="s">
        <v>180</v>
      </c>
      <c r="C30" s="5" t="s">
        <v>196</v>
      </c>
      <c r="D30" s="52">
        <v>34</v>
      </c>
      <c r="E30" s="5" t="s">
        <v>16</v>
      </c>
      <c r="F30" s="52">
        <v>10</v>
      </c>
      <c r="G30" s="20">
        <v>715.53</v>
      </c>
      <c r="H30" s="89"/>
      <c r="I30" s="48"/>
      <c r="J30" s="90">
        <f>[1]!s_dq_close(B30,$B$2,1)</f>
        <v>2.88</v>
      </c>
    </row>
    <row r="31" spans="1:10" x14ac:dyDescent="0.25">
      <c r="A31" s="3">
        <v>45488</v>
      </c>
      <c r="B31" s="5" t="s">
        <v>150</v>
      </c>
      <c r="C31" s="5" t="s">
        <v>151</v>
      </c>
      <c r="D31" s="52">
        <v>122</v>
      </c>
      <c r="E31" s="5" t="s">
        <v>16</v>
      </c>
      <c r="F31" s="52">
        <v>10</v>
      </c>
      <c r="G31" s="20">
        <v>121185.56</v>
      </c>
      <c r="H31" s="89"/>
      <c r="I31" s="48"/>
      <c r="J31" s="90">
        <f>[1]!s_dq_close(B31,$B$2,1)</f>
        <v>137.99</v>
      </c>
    </row>
    <row r="32" spans="1:10" x14ac:dyDescent="0.25">
      <c r="A32" s="3">
        <v>45488</v>
      </c>
      <c r="B32" s="5" t="s">
        <v>192</v>
      </c>
      <c r="C32" s="5" t="s">
        <v>284</v>
      </c>
      <c r="D32" s="52">
        <v>23</v>
      </c>
      <c r="E32" s="5" t="s">
        <v>16</v>
      </c>
      <c r="F32" s="52">
        <v>10</v>
      </c>
      <c r="G32" s="20">
        <v>3311.13</v>
      </c>
      <c r="H32" s="89"/>
      <c r="I32" s="48"/>
      <c r="J32" s="90">
        <f>[1]!s_dq_close(B32,$B$2,1)</f>
        <v>19.77</v>
      </c>
    </row>
    <row r="33" spans="1:10" x14ac:dyDescent="0.25">
      <c r="A33" s="3">
        <v>45488</v>
      </c>
      <c r="B33" s="5" t="s">
        <v>22</v>
      </c>
      <c r="C33" s="5" t="s">
        <v>23</v>
      </c>
      <c r="D33" s="52">
        <v>75</v>
      </c>
      <c r="E33" s="5" t="s">
        <v>16</v>
      </c>
      <c r="F33" s="52">
        <v>10</v>
      </c>
      <c r="G33" s="20">
        <v>5714.25</v>
      </c>
      <c r="H33" s="89"/>
      <c r="I33" s="48"/>
      <c r="J33" s="90">
        <f>[1]!s_dq_close(B33,$B$2,1)</f>
        <v>10.15</v>
      </c>
    </row>
    <row r="34" spans="1:10" x14ac:dyDescent="0.25">
      <c r="A34" s="3">
        <v>45488</v>
      </c>
      <c r="B34" s="5" t="s">
        <v>153</v>
      </c>
      <c r="C34" s="5" t="s">
        <v>154</v>
      </c>
      <c r="D34" s="52">
        <v>100</v>
      </c>
      <c r="E34" s="5" t="s">
        <v>16</v>
      </c>
      <c r="F34" s="52">
        <v>10</v>
      </c>
      <c r="G34" s="20">
        <v>10686.58</v>
      </c>
      <c r="H34" s="89"/>
      <c r="I34" s="48"/>
      <c r="J34" s="90">
        <f>[1]!s_dq_close(B34,$B$2,1)</f>
        <v>14.86</v>
      </c>
    </row>
    <row r="35" spans="1:10" x14ac:dyDescent="0.25">
      <c r="A35" s="3">
        <v>45488</v>
      </c>
      <c r="B35" s="5" t="s">
        <v>24</v>
      </c>
      <c r="C35" s="5" t="s">
        <v>25</v>
      </c>
      <c r="D35" s="52">
        <v>56</v>
      </c>
      <c r="E35" s="5" t="s">
        <v>16</v>
      </c>
      <c r="F35" s="52">
        <v>10</v>
      </c>
      <c r="G35" s="20">
        <v>5688.86</v>
      </c>
      <c r="H35" s="89"/>
      <c r="I35" s="48"/>
      <c r="J35" s="90">
        <f>[1]!s_dq_close(B35,$B$2,1)</f>
        <v>13.69</v>
      </c>
    </row>
    <row r="36" spans="1:10" x14ac:dyDescent="0.25">
      <c r="A36" s="3">
        <v>45488</v>
      </c>
      <c r="B36" s="5" t="s">
        <v>26</v>
      </c>
      <c r="C36" s="5" t="s">
        <v>27</v>
      </c>
      <c r="D36" s="52">
        <v>14</v>
      </c>
      <c r="E36" s="5" t="s">
        <v>17</v>
      </c>
      <c r="F36" s="52">
        <v>0</v>
      </c>
      <c r="G36" s="20">
        <v>857.92</v>
      </c>
      <c r="H36" s="89"/>
      <c r="I36" s="48"/>
      <c r="J36" s="90">
        <f>[1]!s_dq_close(B36,$B$2,1)</f>
        <v>8.08</v>
      </c>
    </row>
    <row r="37" spans="1:10" x14ac:dyDescent="0.25">
      <c r="A37" s="3">
        <v>45488</v>
      </c>
      <c r="B37" s="5" t="s">
        <v>193</v>
      </c>
      <c r="C37" s="5" t="s">
        <v>197</v>
      </c>
      <c r="D37" s="52">
        <v>153</v>
      </c>
      <c r="E37" s="5" t="s">
        <v>16</v>
      </c>
      <c r="F37" s="52">
        <v>10</v>
      </c>
      <c r="G37" s="20">
        <v>9092.08</v>
      </c>
      <c r="H37" s="89"/>
      <c r="I37" s="48"/>
      <c r="J37" s="90">
        <f>[1]!s_dq_close(B37,$B$2,1)</f>
        <v>8.11</v>
      </c>
    </row>
    <row r="38" spans="1:10" x14ac:dyDescent="0.25">
      <c r="A38" s="3">
        <v>45488</v>
      </c>
      <c r="B38" s="5" t="s">
        <v>28</v>
      </c>
      <c r="C38" s="5" t="s">
        <v>162</v>
      </c>
      <c r="D38" s="52">
        <v>5</v>
      </c>
      <c r="E38" s="5" t="s">
        <v>16</v>
      </c>
      <c r="F38" s="52">
        <v>10</v>
      </c>
      <c r="G38" s="20">
        <v>1211.3399999999999</v>
      </c>
      <c r="H38" s="89"/>
      <c r="I38" s="48"/>
      <c r="J38" s="90">
        <f>[1]!s_dq_close(B38,$B$2,1)</f>
        <v>34.200000000000003</v>
      </c>
    </row>
    <row r="39" spans="1:10" x14ac:dyDescent="0.25">
      <c r="A39" s="2"/>
      <c r="B39" s="2"/>
      <c r="C39" s="2"/>
      <c r="D39" s="2"/>
      <c r="E39" s="2"/>
      <c r="F39" s="2"/>
      <c r="G39" s="94"/>
      <c r="H39" s="95"/>
      <c r="I39" s="95"/>
    </row>
    <row r="40" spans="1:10" x14ac:dyDescent="0.25">
      <c r="A40" s="2"/>
      <c r="B40" s="2"/>
      <c r="C40" s="2"/>
      <c r="D40" s="2"/>
      <c r="E40" s="2"/>
      <c r="F40" s="2"/>
      <c r="G40" s="2"/>
      <c r="H40" s="96" t="s">
        <v>332</v>
      </c>
      <c r="I40" s="96">
        <f>SUMPRODUCT(D6:D38,J6:J38)</f>
        <v>976025.66999999993</v>
      </c>
    </row>
  </sheetData>
  <phoneticPr fontId="1" type="noConversion"/>
  <conditionalFormatting sqref="E1:E1048576">
    <cfRule type="cellIs" dxfId="9" priority="1" operator="equal">
      <formula>"必须"</formula>
    </cfRule>
    <cfRule type="cellIs" dxfId="8" priority="2" operator="equal">
      <formula>"退补"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8EA3-7FBC-4101-AD4B-8FDF2FD0626F}">
  <dimension ref="A1:J40"/>
  <sheetViews>
    <sheetView workbookViewId="0">
      <selection activeCell="F41" sqref="F41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3.6328125" style="2" customWidth="1"/>
    <col min="6" max="6" width="9.6328125" style="2" customWidth="1"/>
    <col min="7" max="7" width="12.6328125" style="2" customWidth="1"/>
    <col min="8" max="9" width="11.08984375" style="2" bestFit="1" customWidth="1"/>
    <col min="10" max="16384" width="8.7265625" style="2"/>
  </cols>
  <sheetData>
    <row r="1" spans="1:10" ht="13" x14ac:dyDescent="0.25">
      <c r="A1" s="64" t="s">
        <v>0</v>
      </c>
      <c r="B1" s="64" t="s">
        <v>314</v>
      </c>
      <c r="C1" s="64"/>
    </row>
    <row r="2" spans="1:10" ht="13" x14ac:dyDescent="0.25">
      <c r="A2" s="64" t="s">
        <v>229</v>
      </c>
      <c r="B2" s="82" t="s">
        <v>322</v>
      </c>
      <c r="C2" s="83"/>
      <c r="D2" s="84">
        <v>45488</v>
      </c>
      <c r="E2" s="48">
        <v>20240716</v>
      </c>
      <c r="F2" s="84">
        <v>45485</v>
      </c>
      <c r="G2" s="48"/>
    </row>
    <row r="3" spans="1:10" ht="13" x14ac:dyDescent="0.25">
      <c r="A3" s="64" t="s">
        <v>3</v>
      </c>
      <c r="B3" s="82" t="s">
        <v>309</v>
      </c>
      <c r="C3" s="48"/>
      <c r="D3" s="48"/>
      <c r="E3" s="48"/>
      <c r="F3" s="48"/>
      <c r="G3" s="48"/>
    </row>
    <row r="4" spans="1:10" ht="13" x14ac:dyDescent="0.25">
      <c r="A4" s="48" t="s">
        <v>4</v>
      </c>
      <c r="B4" s="82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</row>
    <row r="5" spans="1:10" ht="23.5" customHeight="1" x14ac:dyDescent="0.25">
      <c r="A5" s="64" t="s">
        <v>2</v>
      </c>
      <c r="B5" s="64" t="s">
        <v>3</v>
      </c>
      <c r="C5" s="64" t="s">
        <v>11</v>
      </c>
      <c r="D5" s="64" t="s">
        <v>12</v>
      </c>
      <c r="E5" s="64" t="s">
        <v>13</v>
      </c>
      <c r="F5" s="85" t="s">
        <v>14</v>
      </c>
      <c r="G5" s="64" t="s">
        <v>15</v>
      </c>
      <c r="J5" s="100" t="s">
        <v>331</v>
      </c>
    </row>
    <row r="6" spans="1:10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45489</v>
      </c>
      <c r="B6" s="49" t="s">
        <v>317</v>
      </c>
      <c r="C6" s="49" t="s">
        <v>321</v>
      </c>
      <c r="D6" s="53">
        <v>942</v>
      </c>
      <c r="E6" s="49" t="s">
        <v>320</v>
      </c>
      <c r="F6" s="53">
        <v>10</v>
      </c>
      <c r="G6" s="50">
        <v>2847.97</v>
      </c>
      <c r="J6" s="2">
        <f>[1]!s_dq_close(B6,$B$2,1)</f>
        <v>3.15</v>
      </c>
    </row>
    <row r="7" spans="1:10" ht="13" x14ac:dyDescent="0.25">
      <c r="A7" s="51">
        <v>45489</v>
      </c>
      <c r="B7" s="49" t="s">
        <v>164</v>
      </c>
      <c r="C7" s="49" t="s">
        <v>165</v>
      </c>
      <c r="D7" s="53">
        <v>916</v>
      </c>
      <c r="E7" s="49" t="s">
        <v>16</v>
      </c>
      <c r="F7" s="53">
        <v>10</v>
      </c>
      <c r="G7" s="50">
        <v>332156.09999999998</v>
      </c>
      <c r="J7" s="2">
        <f>[1]!s_dq_close(B7,$B$2,1)</f>
        <v>378</v>
      </c>
    </row>
    <row r="8" spans="1:10" ht="13" x14ac:dyDescent="0.25">
      <c r="A8" s="51">
        <v>45489</v>
      </c>
      <c r="B8" s="49" t="s">
        <v>30</v>
      </c>
      <c r="C8" s="49" t="s">
        <v>31</v>
      </c>
      <c r="D8" s="53">
        <v>75</v>
      </c>
      <c r="E8" s="49" t="s">
        <v>16</v>
      </c>
      <c r="F8" s="53">
        <v>10</v>
      </c>
      <c r="G8" s="50">
        <v>1811.94</v>
      </c>
      <c r="J8" s="2">
        <f>[1]!s_dq_close(B8,$B$2,1)</f>
        <v>26.05</v>
      </c>
    </row>
    <row r="9" spans="1:10" x14ac:dyDescent="0.25">
      <c r="A9" s="55">
        <v>45489</v>
      </c>
      <c r="B9" s="56" t="s">
        <v>158</v>
      </c>
      <c r="C9" s="56" t="s">
        <v>243</v>
      </c>
      <c r="D9" s="57">
        <v>198</v>
      </c>
      <c r="E9" s="56" t="s">
        <v>16</v>
      </c>
      <c r="F9" s="57">
        <v>10</v>
      </c>
      <c r="G9" s="58">
        <v>2785.11</v>
      </c>
      <c r="J9" s="2">
        <f>[1]!s_dq_close(B9,$B$2,1)</f>
        <v>14.96</v>
      </c>
    </row>
    <row r="10" spans="1:10" x14ac:dyDescent="0.25">
      <c r="A10" s="55">
        <v>45489</v>
      </c>
      <c r="B10" s="56" t="s">
        <v>189</v>
      </c>
      <c r="C10" s="56" t="s">
        <v>190</v>
      </c>
      <c r="D10" s="57">
        <v>444</v>
      </c>
      <c r="E10" s="56" t="s">
        <v>16</v>
      </c>
      <c r="F10" s="57">
        <v>10</v>
      </c>
      <c r="G10" s="58">
        <v>19932.54</v>
      </c>
      <c r="J10" s="2">
        <f>[1]!s_dq_close(B10,$B$2,1)</f>
        <v>46.3</v>
      </c>
    </row>
    <row r="11" spans="1:10" x14ac:dyDescent="0.25">
      <c r="A11" s="55">
        <v>45489</v>
      </c>
      <c r="B11" s="56" t="s">
        <v>276</v>
      </c>
      <c r="C11" s="56" t="s">
        <v>277</v>
      </c>
      <c r="D11" s="57">
        <v>75</v>
      </c>
      <c r="E11" s="56" t="s">
        <v>16</v>
      </c>
      <c r="F11" s="57">
        <v>10</v>
      </c>
      <c r="G11" s="58">
        <v>826.16</v>
      </c>
      <c r="J11" s="2">
        <f>[1]!s_dq_close(B11,$B$2,1)</f>
        <v>11.52</v>
      </c>
    </row>
    <row r="12" spans="1:10" x14ac:dyDescent="0.25">
      <c r="A12" s="55">
        <v>45489</v>
      </c>
      <c r="B12" s="56" t="s">
        <v>172</v>
      </c>
      <c r="C12" s="56" t="s">
        <v>173</v>
      </c>
      <c r="D12" s="57">
        <v>2563</v>
      </c>
      <c r="E12" s="56" t="s">
        <v>16</v>
      </c>
      <c r="F12" s="57">
        <v>10</v>
      </c>
      <c r="G12" s="58">
        <v>39422.75</v>
      </c>
      <c r="J12" s="2">
        <f>[1]!s_dq_close(B12,$B$2,1)</f>
        <v>16.34</v>
      </c>
    </row>
    <row r="13" spans="1:10" x14ac:dyDescent="0.25">
      <c r="A13" s="55">
        <v>45489</v>
      </c>
      <c r="B13" s="56" t="s">
        <v>166</v>
      </c>
      <c r="C13" s="56" t="s">
        <v>167</v>
      </c>
      <c r="D13" s="57">
        <v>98</v>
      </c>
      <c r="E13" s="56" t="s">
        <v>16</v>
      </c>
      <c r="F13" s="57">
        <v>10</v>
      </c>
      <c r="G13" s="58">
        <v>966.73</v>
      </c>
      <c r="J13" s="2">
        <f>[1]!s_dq_close(B13,$B$2,1)</f>
        <v>10.4</v>
      </c>
    </row>
    <row r="14" spans="1:10" x14ac:dyDescent="0.25">
      <c r="A14" s="55">
        <v>45489</v>
      </c>
      <c r="B14" s="56" t="s">
        <v>132</v>
      </c>
      <c r="C14" s="56" t="s">
        <v>179</v>
      </c>
      <c r="D14" s="57">
        <v>912</v>
      </c>
      <c r="E14" s="56" t="s">
        <v>16</v>
      </c>
      <c r="F14" s="57">
        <v>10</v>
      </c>
      <c r="G14" s="58">
        <v>101460.82</v>
      </c>
      <c r="J14" s="2">
        <f>[1]!s_dq_close(B14,$B$2,1)</f>
        <v>117.5</v>
      </c>
    </row>
    <row r="15" spans="1:10" x14ac:dyDescent="0.25">
      <c r="A15" s="55">
        <v>45489</v>
      </c>
      <c r="B15" s="56" t="s">
        <v>18</v>
      </c>
      <c r="C15" s="56" t="s">
        <v>19</v>
      </c>
      <c r="D15" s="57">
        <v>140</v>
      </c>
      <c r="E15" s="56" t="s">
        <v>16</v>
      </c>
      <c r="F15" s="57">
        <v>10</v>
      </c>
      <c r="G15" s="58">
        <v>2941.12</v>
      </c>
      <c r="J15" s="2">
        <f>[1]!s_dq_close(B15,$B$2,1)</f>
        <v>22.1</v>
      </c>
    </row>
    <row r="16" spans="1:10" x14ac:dyDescent="0.25">
      <c r="A16" s="55">
        <v>45489</v>
      </c>
      <c r="B16" s="56" t="s">
        <v>181</v>
      </c>
      <c r="C16" s="56" t="s">
        <v>182</v>
      </c>
      <c r="D16" s="57">
        <v>125</v>
      </c>
      <c r="E16" s="56" t="s">
        <v>16</v>
      </c>
      <c r="F16" s="57">
        <v>10</v>
      </c>
      <c r="G16" s="58">
        <v>1536.78</v>
      </c>
      <c r="J16" s="2">
        <f>[1]!s_dq_close(B16,$B$2,1)</f>
        <v>13.02</v>
      </c>
    </row>
    <row r="17" spans="1:10" x14ac:dyDescent="0.25">
      <c r="A17" s="55">
        <v>45489</v>
      </c>
      <c r="B17" s="56" t="s">
        <v>183</v>
      </c>
      <c r="C17" s="56" t="s">
        <v>184</v>
      </c>
      <c r="D17" s="57">
        <v>187</v>
      </c>
      <c r="E17" s="56" t="s">
        <v>16</v>
      </c>
      <c r="F17" s="57">
        <v>10</v>
      </c>
      <c r="G17" s="58">
        <v>3885.79</v>
      </c>
      <c r="J17" s="2">
        <f>[1]!s_dq_close(B17,$B$2,1)</f>
        <v>20.9</v>
      </c>
    </row>
    <row r="18" spans="1:10" x14ac:dyDescent="0.25">
      <c r="A18" s="55">
        <v>45489</v>
      </c>
      <c r="B18" s="56" t="s">
        <v>253</v>
      </c>
      <c r="C18" s="56" t="s">
        <v>254</v>
      </c>
      <c r="D18" s="57">
        <v>370</v>
      </c>
      <c r="E18" s="56" t="s">
        <v>16</v>
      </c>
      <c r="F18" s="57">
        <v>10</v>
      </c>
      <c r="G18" s="58">
        <v>37850.879999999997</v>
      </c>
      <c r="J18" s="2">
        <f>[1]!s_dq_close(B18,$B$2,1)</f>
        <v>104.5</v>
      </c>
    </row>
    <row r="19" spans="1:10" x14ac:dyDescent="0.25">
      <c r="A19" s="55">
        <v>45489</v>
      </c>
      <c r="B19" s="56" t="s">
        <v>255</v>
      </c>
      <c r="C19" s="56" t="s">
        <v>265</v>
      </c>
      <c r="D19" s="57">
        <v>42</v>
      </c>
      <c r="E19" s="56" t="s">
        <v>16</v>
      </c>
      <c r="F19" s="57">
        <v>10</v>
      </c>
      <c r="G19" s="58">
        <v>5236.46</v>
      </c>
      <c r="J19" s="2">
        <f>[1]!s_dq_close(B19,$B$2,1)</f>
        <v>127</v>
      </c>
    </row>
    <row r="20" spans="1:10" x14ac:dyDescent="0.25">
      <c r="A20" s="55">
        <v>45489</v>
      </c>
      <c r="B20" s="56" t="s">
        <v>302</v>
      </c>
      <c r="C20" s="56" t="s">
        <v>303</v>
      </c>
      <c r="D20" s="57">
        <v>56</v>
      </c>
      <c r="E20" s="56" t="s">
        <v>17</v>
      </c>
      <c r="F20" s="57">
        <v>0</v>
      </c>
      <c r="G20" s="58">
        <v>415.85</v>
      </c>
      <c r="J20" s="2">
        <f>[1]!s_dq_close(B20,$B$2,1)</f>
        <v>7.83</v>
      </c>
    </row>
    <row r="21" spans="1:10" x14ac:dyDescent="0.25">
      <c r="A21" s="55">
        <v>45489</v>
      </c>
      <c r="B21" s="56" t="s">
        <v>256</v>
      </c>
      <c r="C21" s="56" t="s">
        <v>257</v>
      </c>
      <c r="D21" s="57">
        <v>414</v>
      </c>
      <c r="E21" s="56" t="s">
        <v>16</v>
      </c>
      <c r="F21" s="57">
        <v>10</v>
      </c>
      <c r="G21" s="58">
        <v>37625.269999999997</v>
      </c>
      <c r="J21" s="2">
        <f>[1]!s_dq_close(B21,$B$2,1)</f>
        <v>91.15</v>
      </c>
    </row>
    <row r="22" spans="1:10" x14ac:dyDescent="0.25">
      <c r="A22" s="55">
        <v>45489</v>
      </c>
      <c r="B22" s="56" t="s">
        <v>304</v>
      </c>
      <c r="C22" s="56" t="s">
        <v>305</v>
      </c>
      <c r="D22" s="57">
        <v>31</v>
      </c>
      <c r="E22" s="56" t="s">
        <v>17</v>
      </c>
      <c r="F22" s="57">
        <v>0</v>
      </c>
      <c r="G22" s="58">
        <v>359.04</v>
      </c>
      <c r="J22" s="2">
        <f>[1]!s_dq_close(B22,$B$2,1)</f>
        <v>11.84</v>
      </c>
    </row>
    <row r="23" spans="1:10" x14ac:dyDescent="0.25">
      <c r="A23" s="55">
        <v>45489</v>
      </c>
      <c r="B23" s="56" t="s">
        <v>258</v>
      </c>
      <c r="C23" s="56" t="s">
        <v>259</v>
      </c>
      <c r="D23" s="57">
        <v>100</v>
      </c>
      <c r="E23" s="56" t="s">
        <v>16</v>
      </c>
      <c r="F23" s="57">
        <v>10</v>
      </c>
      <c r="G23" s="58">
        <v>36133.71</v>
      </c>
      <c r="J23" s="2">
        <f>[1]!s_dq_close(B23,$B$2,1)</f>
        <v>373.8</v>
      </c>
    </row>
    <row r="24" spans="1:10" x14ac:dyDescent="0.25">
      <c r="A24" s="55">
        <v>45489</v>
      </c>
      <c r="B24" s="56" t="s">
        <v>260</v>
      </c>
      <c r="C24" s="56" t="s">
        <v>261</v>
      </c>
      <c r="D24" s="57">
        <v>3100</v>
      </c>
      <c r="E24" s="56" t="s">
        <v>16</v>
      </c>
      <c r="F24" s="57">
        <v>10</v>
      </c>
      <c r="G24" s="58">
        <v>221990.31</v>
      </c>
      <c r="J24" s="2">
        <f>[1]!s_dq_close(B24,$B$2,1)</f>
        <v>75.5</v>
      </c>
    </row>
    <row r="25" spans="1:10" x14ac:dyDescent="0.25">
      <c r="A25" s="55">
        <v>45489</v>
      </c>
      <c r="B25" s="56" t="s">
        <v>262</v>
      </c>
      <c r="C25" s="56" t="s">
        <v>263</v>
      </c>
      <c r="D25" s="57">
        <v>288</v>
      </c>
      <c r="E25" s="56" t="s">
        <v>16</v>
      </c>
      <c r="F25" s="57">
        <v>10</v>
      </c>
      <c r="G25" s="58">
        <v>37880.11</v>
      </c>
      <c r="J25" s="2">
        <f>[1]!s_dq_close(B25,$B$2,1)</f>
        <v>144</v>
      </c>
    </row>
    <row r="26" spans="1:10" x14ac:dyDescent="0.25">
      <c r="A26" s="3">
        <v>45489</v>
      </c>
      <c r="B26" s="5" t="s">
        <v>20</v>
      </c>
      <c r="C26" s="5" t="s">
        <v>21</v>
      </c>
      <c r="D26" s="52">
        <v>11</v>
      </c>
      <c r="E26" s="5" t="s">
        <v>16</v>
      </c>
      <c r="F26" s="52">
        <v>10</v>
      </c>
      <c r="G26" s="20">
        <v>2213.7600000000002</v>
      </c>
      <c r="J26" s="2">
        <f>[1]!s_dq_close(B26,$B$2,1)</f>
        <v>27.98</v>
      </c>
    </row>
    <row r="27" spans="1:10" x14ac:dyDescent="0.25">
      <c r="A27" s="3">
        <v>45489</v>
      </c>
      <c r="B27" s="5" t="s">
        <v>174</v>
      </c>
      <c r="C27" s="5" t="s">
        <v>194</v>
      </c>
      <c r="D27" s="52">
        <v>108</v>
      </c>
      <c r="E27" s="5" t="s">
        <v>16</v>
      </c>
      <c r="F27" s="52">
        <v>10</v>
      </c>
      <c r="G27" s="20">
        <v>12038.26</v>
      </c>
      <c r="J27" s="2">
        <f>[1]!s_dq_close(B27,$B$2,1)</f>
        <v>14.8</v>
      </c>
    </row>
    <row r="28" spans="1:10" x14ac:dyDescent="0.25">
      <c r="A28" s="3">
        <v>45489</v>
      </c>
      <c r="B28" s="5" t="s">
        <v>231</v>
      </c>
      <c r="C28" s="5" t="s">
        <v>232</v>
      </c>
      <c r="D28" s="52">
        <v>65</v>
      </c>
      <c r="E28" s="5" t="s">
        <v>16</v>
      </c>
      <c r="F28" s="52">
        <v>10</v>
      </c>
      <c r="G28" s="20">
        <v>8849.1200000000008</v>
      </c>
      <c r="J28" s="2">
        <f>[1]!s_dq_close(B28,$B$2,1)</f>
        <v>17.21</v>
      </c>
    </row>
    <row r="29" spans="1:10" x14ac:dyDescent="0.25">
      <c r="A29" s="3">
        <v>45489</v>
      </c>
      <c r="B29" s="5" t="s">
        <v>29</v>
      </c>
      <c r="C29" s="5" t="s">
        <v>195</v>
      </c>
      <c r="D29" s="52">
        <v>46</v>
      </c>
      <c r="E29" s="5" t="s">
        <v>16</v>
      </c>
      <c r="F29" s="52">
        <v>10</v>
      </c>
      <c r="G29" s="20">
        <v>1312.2</v>
      </c>
      <c r="J29" s="2">
        <f>[1]!s_dq_close(B29,$B$2,1)</f>
        <v>3.75</v>
      </c>
    </row>
    <row r="30" spans="1:10" x14ac:dyDescent="0.25">
      <c r="A30" s="3">
        <v>45489</v>
      </c>
      <c r="B30" s="5" t="s">
        <v>180</v>
      </c>
      <c r="C30" s="5" t="s">
        <v>196</v>
      </c>
      <c r="D30" s="52">
        <v>34</v>
      </c>
      <c r="E30" s="5" t="s">
        <v>16</v>
      </c>
      <c r="F30" s="52">
        <v>10</v>
      </c>
      <c r="G30" s="20">
        <v>715.29</v>
      </c>
      <c r="J30" s="2">
        <f>[1]!s_dq_close(B30,$B$2,1)</f>
        <v>2.83</v>
      </c>
    </row>
    <row r="31" spans="1:10" x14ac:dyDescent="0.25">
      <c r="A31" s="3">
        <v>45489</v>
      </c>
      <c r="B31" s="5" t="s">
        <v>150</v>
      </c>
      <c r="C31" s="5" t="s">
        <v>151</v>
      </c>
      <c r="D31" s="52">
        <v>122</v>
      </c>
      <c r="E31" s="5" t="s">
        <v>16</v>
      </c>
      <c r="F31" s="52">
        <v>10</v>
      </c>
      <c r="G31" s="20">
        <v>123911.52</v>
      </c>
      <c r="J31" s="2">
        <f>[1]!s_dq_close(B31,$B$2,1)</f>
        <v>135.84</v>
      </c>
    </row>
    <row r="32" spans="1:10" x14ac:dyDescent="0.25">
      <c r="A32" s="3">
        <v>45489</v>
      </c>
      <c r="B32" s="5" t="s">
        <v>192</v>
      </c>
      <c r="C32" s="5" t="s">
        <v>284</v>
      </c>
      <c r="D32" s="52">
        <v>23</v>
      </c>
      <c r="E32" s="5" t="s">
        <v>16</v>
      </c>
      <c r="F32" s="52">
        <v>10</v>
      </c>
      <c r="G32" s="20">
        <v>3354.3</v>
      </c>
      <c r="J32" s="2">
        <f>[1]!s_dq_close(B32,$B$2,1)</f>
        <v>19.86</v>
      </c>
    </row>
    <row r="33" spans="1:10" x14ac:dyDescent="0.25">
      <c r="A33" s="3">
        <v>45489</v>
      </c>
      <c r="B33" s="5" t="s">
        <v>22</v>
      </c>
      <c r="C33" s="5" t="s">
        <v>23</v>
      </c>
      <c r="D33" s="52">
        <v>75</v>
      </c>
      <c r="E33" s="5" t="s">
        <v>16</v>
      </c>
      <c r="F33" s="52">
        <v>10</v>
      </c>
      <c r="G33" s="20">
        <v>5781.86</v>
      </c>
      <c r="J33" s="2">
        <f>[1]!s_dq_close(B33,$B$2,1)</f>
        <v>10</v>
      </c>
    </row>
    <row r="34" spans="1:10" x14ac:dyDescent="0.25">
      <c r="A34" s="3">
        <v>45489</v>
      </c>
      <c r="B34" s="5" t="s">
        <v>153</v>
      </c>
      <c r="C34" s="5" t="s">
        <v>154</v>
      </c>
      <c r="D34" s="52">
        <v>100</v>
      </c>
      <c r="E34" s="5" t="s">
        <v>16</v>
      </c>
      <c r="F34" s="52">
        <v>10</v>
      </c>
      <c r="G34" s="20">
        <v>10789.96</v>
      </c>
      <c r="J34" s="2">
        <f>[1]!s_dq_close(B34,$B$2,1)</f>
        <v>15.13</v>
      </c>
    </row>
    <row r="35" spans="1:10" x14ac:dyDescent="0.25">
      <c r="A35" s="3">
        <v>45489</v>
      </c>
      <c r="B35" s="5" t="s">
        <v>24</v>
      </c>
      <c r="C35" s="5" t="s">
        <v>25</v>
      </c>
      <c r="D35" s="52">
        <v>56</v>
      </c>
      <c r="E35" s="5" t="s">
        <v>16</v>
      </c>
      <c r="F35" s="52">
        <v>10</v>
      </c>
      <c r="G35" s="20">
        <v>5635.03</v>
      </c>
      <c r="J35" s="2">
        <f>[1]!s_dq_close(B35,$B$2,1)</f>
        <v>13.68</v>
      </c>
    </row>
    <row r="36" spans="1:10" x14ac:dyDescent="0.25">
      <c r="A36" s="3">
        <v>45489</v>
      </c>
      <c r="B36" s="5" t="s">
        <v>26</v>
      </c>
      <c r="C36" s="5" t="s">
        <v>27</v>
      </c>
      <c r="D36" s="52">
        <v>14</v>
      </c>
      <c r="E36" s="5" t="s">
        <v>17</v>
      </c>
      <c r="F36" s="52">
        <v>0</v>
      </c>
      <c r="G36" s="20">
        <v>848.65</v>
      </c>
      <c r="J36" s="2">
        <f>[1]!s_dq_close(B36,$B$2,1)</f>
        <v>8.24</v>
      </c>
    </row>
    <row r="37" spans="1:10" x14ac:dyDescent="0.25">
      <c r="A37" s="3">
        <v>45489</v>
      </c>
      <c r="B37" s="5" t="s">
        <v>193</v>
      </c>
      <c r="C37" s="5" t="s">
        <v>197</v>
      </c>
      <c r="D37" s="52">
        <v>153</v>
      </c>
      <c r="E37" s="5" t="s">
        <v>16</v>
      </c>
      <c r="F37" s="52">
        <v>10</v>
      </c>
      <c r="G37" s="20">
        <v>9001.74</v>
      </c>
      <c r="J37" s="2">
        <f>[1]!s_dq_close(B37,$B$2,1)</f>
        <v>8.01</v>
      </c>
    </row>
    <row r="38" spans="1:10" x14ac:dyDescent="0.25">
      <c r="A38" s="3">
        <v>45489</v>
      </c>
      <c r="B38" s="5" t="s">
        <v>28</v>
      </c>
      <c r="C38" s="5" t="s">
        <v>162</v>
      </c>
      <c r="D38" s="52">
        <v>5</v>
      </c>
      <c r="E38" s="5" t="s">
        <v>16</v>
      </c>
      <c r="F38" s="52">
        <v>10</v>
      </c>
      <c r="G38" s="20">
        <v>1236.5999999999999</v>
      </c>
      <c r="J38" s="2">
        <f>[1]!s_dq_close(B38,$B$2,1)</f>
        <v>34.270000000000003</v>
      </c>
    </row>
    <row r="40" spans="1:10" ht="13" x14ac:dyDescent="0.25">
      <c r="H40" s="99" t="s">
        <v>333</v>
      </c>
      <c r="I40" s="2">
        <f>SUMPRODUCT(D6:D38,J6:J38)</f>
        <v>954547.5</v>
      </c>
    </row>
  </sheetData>
  <phoneticPr fontId="1" type="noConversion"/>
  <conditionalFormatting sqref="E6:E38">
    <cfRule type="cellIs" dxfId="7" priority="1" operator="equal">
      <formula>"必须"</formula>
    </cfRule>
    <cfRule type="cellIs" dxfId="6" priority="2" operator="equal">
      <formula>"退补"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05E44-D137-4FE0-8F44-7791EDE5568F}">
  <dimension ref="A1:J40"/>
  <sheetViews>
    <sheetView workbookViewId="0">
      <selection activeCell="D5" sqref="D5:D38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4.6328125" style="2" customWidth="1"/>
    <col min="6" max="6" width="9.6328125" style="2" customWidth="1"/>
    <col min="7" max="7" width="17.6328125" style="2" customWidth="1"/>
    <col min="8" max="16384" width="8.7265625" style="2"/>
  </cols>
  <sheetData>
    <row r="1" spans="1:10" ht="13" x14ac:dyDescent="0.25">
      <c r="A1" s="64" t="s">
        <v>325</v>
      </c>
      <c r="B1" s="64" t="s">
        <v>314</v>
      </c>
      <c r="C1" s="64" t="s">
        <v>328</v>
      </c>
      <c r="D1" s="48" t="s">
        <v>329</v>
      </c>
      <c r="E1" s="48" t="s">
        <v>330</v>
      </c>
      <c r="F1" s="48" t="s">
        <v>326</v>
      </c>
      <c r="G1" s="48" t="s">
        <v>327</v>
      </c>
      <c r="H1" s="2" t="s">
        <v>335</v>
      </c>
    </row>
    <row r="2" spans="1:10" ht="13" x14ac:dyDescent="0.25">
      <c r="A2" s="64" t="s">
        <v>229</v>
      </c>
      <c r="B2" s="82" t="s">
        <v>323</v>
      </c>
      <c r="C2" s="83"/>
      <c r="D2" s="84">
        <v>45488</v>
      </c>
      <c r="E2" s="48">
        <v>20240716</v>
      </c>
      <c r="F2" s="84">
        <v>45485</v>
      </c>
      <c r="G2" s="48"/>
    </row>
    <row r="3" spans="1:10" ht="13" x14ac:dyDescent="0.25">
      <c r="A3" s="64" t="s">
        <v>3</v>
      </c>
      <c r="B3" s="82" t="s">
        <v>309</v>
      </c>
      <c r="C3" s="48"/>
      <c r="D3" s="48"/>
      <c r="E3" s="48"/>
      <c r="F3" s="48"/>
      <c r="G3" s="48"/>
    </row>
    <row r="4" spans="1:10" ht="13" x14ac:dyDescent="0.25">
      <c r="A4" s="48" t="s">
        <v>4</v>
      </c>
      <c r="B4" s="82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</row>
    <row r="5" spans="1:10" ht="22" customHeight="1" x14ac:dyDescent="0.25">
      <c r="A5" s="64" t="s">
        <v>2</v>
      </c>
      <c r="B5" s="64" t="s">
        <v>3</v>
      </c>
      <c r="C5" s="64" t="s">
        <v>11</v>
      </c>
      <c r="D5" s="64" t="s">
        <v>12</v>
      </c>
      <c r="E5" s="64" t="s">
        <v>13</v>
      </c>
      <c r="F5" s="85" t="s">
        <v>14</v>
      </c>
      <c r="G5" s="64" t="s">
        <v>15</v>
      </c>
      <c r="J5" s="100" t="s">
        <v>331</v>
      </c>
    </row>
    <row r="6" spans="1:10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45490</v>
      </c>
      <c r="B6" s="49" t="s">
        <v>317</v>
      </c>
      <c r="C6" s="49" t="s">
        <v>321</v>
      </c>
      <c r="D6" s="53">
        <v>942</v>
      </c>
      <c r="E6" s="49" t="s">
        <v>320</v>
      </c>
      <c r="F6" s="53">
        <v>10</v>
      </c>
      <c r="G6" s="50">
        <v>2778.95</v>
      </c>
      <c r="J6" s="2">
        <f>[1]!s_dq_close(B6,$B$2,1)</f>
        <v>3.15</v>
      </c>
    </row>
    <row r="7" spans="1:10" ht="13" x14ac:dyDescent="0.25">
      <c r="A7" s="51">
        <v>45490</v>
      </c>
      <c r="B7" s="49" t="s">
        <v>164</v>
      </c>
      <c r="C7" s="49" t="s">
        <v>165</v>
      </c>
      <c r="D7" s="53">
        <v>916</v>
      </c>
      <c r="E7" s="49" t="s">
        <v>16</v>
      </c>
      <c r="F7" s="53">
        <v>10</v>
      </c>
      <c r="G7" s="50">
        <v>326445.33</v>
      </c>
      <c r="J7" s="2">
        <f>[1]!s_dq_close(B7,$B$2,1)</f>
        <v>378</v>
      </c>
    </row>
    <row r="8" spans="1:10" ht="13" x14ac:dyDescent="0.25">
      <c r="A8" s="51">
        <v>45490</v>
      </c>
      <c r="B8" s="49" t="s">
        <v>30</v>
      </c>
      <c r="C8" s="49" t="s">
        <v>31</v>
      </c>
      <c r="D8" s="53">
        <v>75</v>
      </c>
      <c r="E8" s="49" t="s">
        <v>16</v>
      </c>
      <c r="F8" s="53">
        <v>10</v>
      </c>
      <c r="G8" s="50">
        <v>1794.69</v>
      </c>
      <c r="J8" s="2">
        <f>[1]!s_dq_close(B8,$B$2,1)</f>
        <v>26.05</v>
      </c>
    </row>
    <row r="9" spans="1:10" x14ac:dyDescent="0.25">
      <c r="A9" s="55">
        <v>45490</v>
      </c>
      <c r="B9" s="56" t="s">
        <v>158</v>
      </c>
      <c r="C9" s="56" t="s">
        <v>243</v>
      </c>
      <c r="D9" s="57">
        <v>198</v>
      </c>
      <c r="E9" s="56" t="s">
        <v>16</v>
      </c>
      <c r="F9" s="57">
        <v>10</v>
      </c>
      <c r="G9" s="58">
        <v>2712.59</v>
      </c>
      <c r="J9" s="2">
        <f>[1]!s_dq_close(B9,$B$2,1)</f>
        <v>14.96</v>
      </c>
    </row>
    <row r="10" spans="1:10" x14ac:dyDescent="0.25">
      <c r="A10" s="55">
        <v>45490</v>
      </c>
      <c r="B10" s="56" t="s">
        <v>189</v>
      </c>
      <c r="C10" s="56" t="s">
        <v>190</v>
      </c>
      <c r="D10" s="57">
        <v>444</v>
      </c>
      <c r="E10" s="56" t="s">
        <v>16</v>
      </c>
      <c r="F10" s="57">
        <v>10</v>
      </c>
      <c r="G10" s="58">
        <v>19404.060000000001</v>
      </c>
      <c r="J10" s="2">
        <f>[1]!s_dq_close(B10,$B$2,1)</f>
        <v>46.3</v>
      </c>
    </row>
    <row r="11" spans="1:10" x14ac:dyDescent="0.25">
      <c r="A11" s="55">
        <v>45490</v>
      </c>
      <c r="B11" s="56" t="s">
        <v>276</v>
      </c>
      <c r="C11" s="56" t="s">
        <v>277</v>
      </c>
      <c r="D11" s="57">
        <v>75</v>
      </c>
      <c r="E11" s="56" t="s">
        <v>16</v>
      </c>
      <c r="F11" s="57">
        <v>10</v>
      </c>
      <c r="G11" s="58">
        <v>793.23</v>
      </c>
      <c r="J11" s="2">
        <f>[1]!s_dq_close(B11,$B$2,1)</f>
        <v>11.52</v>
      </c>
    </row>
    <row r="12" spans="1:10" x14ac:dyDescent="0.25">
      <c r="A12" s="55">
        <v>45490</v>
      </c>
      <c r="B12" s="56" t="s">
        <v>172</v>
      </c>
      <c r="C12" s="56" t="s">
        <v>173</v>
      </c>
      <c r="D12" s="57">
        <v>2563</v>
      </c>
      <c r="E12" s="56" t="s">
        <v>16</v>
      </c>
      <c r="F12" s="57">
        <v>10</v>
      </c>
      <c r="G12" s="58">
        <v>38530.629999999997</v>
      </c>
      <c r="J12" s="2">
        <f>[1]!s_dq_close(B12,$B$2,1)</f>
        <v>16.34</v>
      </c>
    </row>
    <row r="13" spans="1:10" x14ac:dyDescent="0.25">
      <c r="A13" s="55">
        <v>45490</v>
      </c>
      <c r="B13" s="56" t="s">
        <v>166</v>
      </c>
      <c r="C13" s="56" t="s">
        <v>167</v>
      </c>
      <c r="D13" s="57">
        <v>98</v>
      </c>
      <c r="E13" s="56" t="s">
        <v>16</v>
      </c>
      <c r="F13" s="57">
        <v>10</v>
      </c>
      <c r="G13" s="58">
        <v>929.08</v>
      </c>
      <c r="J13" s="2">
        <f>[1]!s_dq_close(B13,$B$2,1)</f>
        <v>10.4</v>
      </c>
    </row>
    <row r="14" spans="1:10" x14ac:dyDescent="0.25">
      <c r="A14" s="55">
        <v>45490</v>
      </c>
      <c r="B14" s="56" t="s">
        <v>132</v>
      </c>
      <c r="C14" s="56" t="s">
        <v>179</v>
      </c>
      <c r="D14" s="57">
        <v>912</v>
      </c>
      <c r="E14" s="56" t="s">
        <v>16</v>
      </c>
      <c r="F14" s="57">
        <v>10</v>
      </c>
      <c r="G14" s="58">
        <v>99205.17</v>
      </c>
      <c r="J14" s="2">
        <f>[1]!s_dq_close(B14,$B$2,1)</f>
        <v>117.5</v>
      </c>
    </row>
    <row r="15" spans="1:10" x14ac:dyDescent="0.25">
      <c r="A15" s="55">
        <v>45490</v>
      </c>
      <c r="B15" s="56" t="s">
        <v>18</v>
      </c>
      <c r="C15" s="56" t="s">
        <v>19</v>
      </c>
      <c r="D15" s="57">
        <v>140</v>
      </c>
      <c r="E15" s="56" t="s">
        <v>16</v>
      </c>
      <c r="F15" s="57">
        <v>10</v>
      </c>
      <c r="G15" s="58">
        <v>2851.42</v>
      </c>
      <c r="J15" s="2">
        <f>[1]!s_dq_close(B15,$B$2,1)</f>
        <v>22.1</v>
      </c>
    </row>
    <row r="16" spans="1:10" x14ac:dyDescent="0.25">
      <c r="A16" s="55">
        <v>45490</v>
      </c>
      <c r="B16" s="56" t="s">
        <v>181</v>
      </c>
      <c r="C16" s="56" t="s">
        <v>182</v>
      </c>
      <c r="D16" s="57">
        <v>125</v>
      </c>
      <c r="E16" s="56" t="s">
        <v>16</v>
      </c>
      <c r="F16" s="57">
        <v>10</v>
      </c>
      <c r="G16" s="58">
        <v>1484.16</v>
      </c>
      <c r="J16" s="2">
        <f>[1]!s_dq_close(B16,$B$2,1)</f>
        <v>13.02</v>
      </c>
    </row>
    <row r="17" spans="1:10" x14ac:dyDescent="0.25">
      <c r="A17" s="55">
        <v>45490</v>
      </c>
      <c r="B17" s="56" t="s">
        <v>183</v>
      </c>
      <c r="C17" s="56" t="s">
        <v>184</v>
      </c>
      <c r="D17" s="57">
        <v>187</v>
      </c>
      <c r="E17" s="56" t="s">
        <v>16</v>
      </c>
      <c r="F17" s="57">
        <v>10</v>
      </c>
      <c r="G17" s="58">
        <v>3680.58</v>
      </c>
      <c r="J17" s="2">
        <f>[1]!s_dq_close(B17,$B$2,1)</f>
        <v>20.9</v>
      </c>
    </row>
    <row r="18" spans="1:10" x14ac:dyDescent="0.25">
      <c r="A18" s="55">
        <v>45490</v>
      </c>
      <c r="B18" s="56" t="s">
        <v>253</v>
      </c>
      <c r="C18" s="56" t="s">
        <v>254</v>
      </c>
      <c r="D18" s="57">
        <v>370</v>
      </c>
      <c r="E18" s="56" t="s">
        <v>16</v>
      </c>
      <c r="F18" s="57">
        <v>10</v>
      </c>
      <c r="G18" s="58">
        <v>36057.360000000001</v>
      </c>
      <c r="J18" s="2">
        <f>[1]!s_dq_close(B18,$B$2,1)</f>
        <v>104.5</v>
      </c>
    </row>
    <row r="19" spans="1:10" x14ac:dyDescent="0.25">
      <c r="A19" s="55">
        <v>45490</v>
      </c>
      <c r="B19" s="56" t="s">
        <v>255</v>
      </c>
      <c r="C19" s="56" t="s">
        <v>265</v>
      </c>
      <c r="D19" s="57">
        <v>42</v>
      </c>
      <c r="E19" s="56" t="s">
        <v>16</v>
      </c>
      <c r="F19" s="57">
        <v>10</v>
      </c>
      <c r="G19" s="58">
        <v>4814.16</v>
      </c>
      <c r="J19" s="2">
        <f>[1]!s_dq_close(B19,$B$2,1)</f>
        <v>127</v>
      </c>
    </row>
    <row r="20" spans="1:10" x14ac:dyDescent="0.25">
      <c r="A20" s="55">
        <v>45490</v>
      </c>
      <c r="B20" s="56" t="s">
        <v>302</v>
      </c>
      <c r="C20" s="56" t="s">
        <v>303</v>
      </c>
      <c r="D20" s="57">
        <v>56</v>
      </c>
      <c r="E20" s="56" t="s">
        <v>17</v>
      </c>
      <c r="F20" s="57">
        <v>0</v>
      </c>
      <c r="G20" s="58">
        <v>404.06</v>
      </c>
      <c r="J20" s="2">
        <f>[1]!s_dq_close(B20,$B$2,1)</f>
        <v>7.83</v>
      </c>
    </row>
    <row r="21" spans="1:10" x14ac:dyDescent="0.25">
      <c r="A21" s="55">
        <v>45490</v>
      </c>
      <c r="B21" s="56" t="s">
        <v>256</v>
      </c>
      <c r="C21" s="56" t="s">
        <v>257</v>
      </c>
      <c r="D21" s="57">
        <v>414</v>
      </c>
      <c r="E21" s="56" t="s">
        <v>16</v>
      </c>
      <c r="F21" s="57">
        <v>10</v>
      </c>
      <c r="G21" s="58">
        <v>35524.239999999998</v>
      </c>
      <c r="J21" s="2">
        <f>[1]!s_dq_close(B21,$B$2,1)</f>
        <v>91.15</v>
      </c>
    </row>
    <row r="22" spans="1:10" x14ac:dyDescent="0.25">
      <c r="A22" s="55">
        <v>45490</v>
      </c>
      <c r="B22" s="56" t="s">
        <v>304</v>
      </c>
      <c r="C22" s="56" t="s">
        <v>305</v>
      </c>
      <c r="D22" s="57">
        <v>31</v>
      </c>
      <c r="E22" s="56" t="s">
        <v>17</v>
      </c>
      <c r="F22" s="57">
        <v>0</v>
      </c>
      <c r="G22" s="58">
        <v>340.89</v>
      </c>
      <c r="J22" s="2">
        <f>[1]!s_dq_close(B22,$B$2,1)</f>
        <v>11.84</v>
      </c>
    </row>
    <row r="23" spans="1:10" x14ac:dyDescent="0.25">
      <c r="A23" s="55">
        <v>45490</v>
      </c>
      <c r="B23" s="56" t="s">
        <v>258</v>
      </c>
      <c r="C23" s="56" t="s">
        <v>259</v>
      </c>
      <c r="D23" s="57">
        <v>100</v>
      </c>
      <c r="E23" s="56" t="s">
        <v>16</v>
      </c>
      <c r="F23" s="57">
        <v>10</v>
      </c>
      <c r="G23" s="58">
        <v>35473.74</v>
      </c>
      <c r="J23" s="2">
        <f>[1]!s_dq_close(B23,$B$2,1)</f>
        <v>373.8</v>
      </c>
    </row>
    <row r="24" spans="1:10" x14ac:dyDescent="0.25">
      <c r="A24" s="55">
        <v>45490</v>
      </c>
      <c r="B24" s="56" t="s">
        <v>260</v>
      </c>
      <c r="C24" s="56" t="s">
        <v>261</v>
      </c>
      <c r="D24" s="57">
        <v>3100</v>
      </c>
      <c r="E24" s="56" t="s">
        <v>16</v>
      </c>
      <c r="F24" s="57">
        <v>10</v>
      </c>
      <c r="G24" s="58">
        <v>217020.91</v>
      </c>
      <c r="J24" s="2">
        <f>[1]!s_dq_close(B24,$B$2,1)</f>
        <v>75.5</v>
      </c>
    </row>
    <row r="25" spans="1:10" x14ac:dyDescent="0.25">
      <c r="A25" s="55">
        <v>45490</v>
      </c>
      <c r="B25" s="56" t="s">
        <v>262</v>
      </c>
      <c r="C25" s="56" t="s">
        <v>263</v>
      </c>
      <c r="D25" s="57">
        <v>288</v>
      </c>
      <c r="E25" s="56" t="s">
        <v>16</v>
      </c>
      <c r="F25" s="57">
        <v>10</v>
      </c>
      <c r="G25" s="58">
        <v>38114.36</v>
      </c>
      <c r="J25" s="2">
        <f>[1]!s_dq_close(B25,$B$2,1)</f>
        <v>144</v>
      </c>
    </row>
    <row r="26" spans="1:10" x14ac:dyDescent="0.25">
      <c r="A26" s="102">
        <v>45490</v>
      </c>
      <c r="B26" s="101" t="s">
        <v>20</v>
      </c>
      <c r="C26" s="101" t="s">
        <v>21</v>
      </c>
      <c r="D26" s="103">
        <v>11</v>
      </c>
      <c r="E26" s="5" t="s">
        <v>16</v>
      </c>
      <c r="F26" s="103">
        <v>10</v>
      </c>
      <c r="G26" s="104">
        <v>2146.2399999999998</v>
      </c>
      <c r="J26" s="2">
        <f>[1]!s_dq_close(B26,$B$2,1)</f>
        <v>27.98</v>
      </c>
    </row>
    <row r="27" spans="1:10" x14ac:dyDescent="0.25">
      <c r="A27" s="102">
        <v>45490</v>
      </c>
      <c r="B27" s="101" t="s">
        <v>174</v>
      </c>
      <c r="C27" s="101" t="s">
        <v>194</v>
      </c>
      <c r="D27" s="103">
        <v>108</v>
      </c>
      <c r="E27" s="5" t="s">
        <v>16</v>
      </c>
      <c r="F27" s="103">
        <v>10</v>
      </c>
      <c r="G27" s="104">
        <v>11360.16</v>
      </c>
      <c r="J27" s="2">
        <f>[1]!s_dq_close(B27,$B$2,1)</f>
        <v>14.8</v>
      </c>
    </row>
    <row r="28" spans="1:10" x14ac:dyDescent="0.25">
      <c r="A28" s="102">
        <v>45490</v>
      </c>
      <c r="B28" s="101" t="s">
        <v>231</v>
      </c>
      <c r="C28" s="101" t="s">
        <v>232</v>
      </c>
      <c r="D28" s="103">
        <v>65</v>
      </c>
      <c r="E28" s="5" t="s">
        <v>16</v>
      </c>
      <c r="F28" s="103">
        <v>10</v>
      </c>
      <c r="G28" s="104">
        <v>8199.93</v>
      </c>
      <c r="J28" s="2">
        <f>[1]!s_dq_close(B28,$B$2,1)</f>
        <v>17.21</v>
      </c>
    </row>
    <row r="29" spans="1:10" x14ac:dyDescent="0.25">
      <c r="A29" s="102">
        <v>45490</v>
      </c>
      <c r="B29" s="101" t="s">
        <v>29</v>
      </c>
      <c r="C29" s="101" t="s">
        <v>195</v>
      </c>
      <c r="D29" s="103">
        <v>46</v>
      </c>
      <c r="E29" s="5" t="s">
        <v>16</v>
      </c>
      <c r="F29" s="103">
        <v>10</v>
      </c>
      <c r="G29" s="104">
        <v>1243.27</v>
      </c>
      <c r="J29" s="2">
        <f>[1]!s_dq_close(B29,$B$2,1)</f>
        <v>3.75</v>
      </c>
    </row>
    <row r="30" spans="1:10" x14ac:dyDescent="0.25">
      <c r="A30" s="102">
        <v>45490</v>
      </c>
      <c r="B30" s="101" t="s">
        <v>180</v>
      </c>
      <c r="C30" s="101" t="s">
        <v>196</v>
      </c>
      <c r="D30" s="103">
        <v>34</v>
      </c>
      <c r="E30" s="5" t="s">
        <v>16</v>
      </c>
      <c r="F30" s="103">
        <v>10</v>
      </c>
      <c r="G30" s="104">
        <v>698.3</v>
      </c>
      <c r="J30" s="2">
        <f>[1]!s_dq_close(B30,$B$2,1)</f>
        <v>2.83</v>
      </c>
    </row>
    <row r="31" spans="1:10" x14ac:dyDescent="0.25">
      <c r="A31" s="102">
        <v>45490</v>
      </c>
      <c r="B31" s="101" t="s">
        <v>150</v>
      </c>
      <c r="C31" s="101" t="s">
        <v>151</v>
      </c>
      <c r="D31" s="103">
        <v>122</v>
      </c>
      <c r="E31" s="5" t="s">
        <v>16</v>
      </c>
      <c r="F31" s="103">
        <v>10</v>
      </c>
      <c r="G31" s="104">
        <v>120053.87</v>
      </c>
      <c r="J31" s="2">
        <f>[1]!s_dq_close(B31,$B$2,1)</f>
        <v>135.84</v>
      </c>
    </row>
    <row r="32" spans="1:10" x14ac:dyDescent="0.25">
      <c r="A32" s="102">
        <v>45490</v>
      </c>
      <c r="B32" s="101" t="s">
        <v>192</v>
      </c>
      <c r="C32" s="101" t="s">
        <v>284</v>
      </c>
      <c r="D32" s="103">
        <v>23</v>
      </c>
      <c r="E32" s="5" t="s">
        <v>16</v>
      </c>
      <c r="F32" s="103">
        <v>10</v>
      </c>
      <c r="G32" s="104">
        <v>3242.67</v>
      </c>
      <c r="J32" s="2">
        <f>[1]!s_dq_close(B32,$B$2,1)</f>
        <v>19.86</v>
      </c>
    </row>
    <row r="33" spans="1:10" x14ac:dyDescent="0.25">
      <c r="A33" s="102">
        <v>45490</v>
      </c>
      <c r="B33" s="101" t="s">
        <v>22</v>
      </c>
      <c r="C33" s="101" t="s">
        <v>23</v>
      </c>
      <c r="D33" s="103">
        <v>75</v>
      </c>
      <c r="E33" s="5" t="s">
        <v>16</v>
      </c>
      <c r="F33" s="103">
        <v>10</v>
      </c>
      <c r="G33" s="104">
        <v>5428.7</v>
      </c>
      <c r="J33" s="2">
        <f>[1]!s_dq_close(B33,$B$2,1)</f>
        <v>10</v>
      </c>
    </row>
    <row r="34" spans="1:10" x14ac:dyDescent="0.25">
      <c r="A34" s="102">
        <v>45490</v>
      </c>
      <c r="B34" s="101" t="s">
        <v>153</v>
      </c>
      <c r="C34" s="101" t="s">
        <v>154</v>
      </c>
      <c r="D34" s="103">
        <v>100</v>
      </c>
      <c r="E34" s="5" t="s">
        <v>16</v>
      </c>
      <c r="F34" s="103">
        <v>10</v>
      </c>
      <c r="G34" s="104">
        <v>10597.11</v>
      </c>
      <c r="J34" s="2">
        <f>[1]!s_dq_close(B34,$B$2,1)</f>
        <v>15.13</v>
      </c>
    </row>
    <row r="35" spans="1:10" x14ac:dyDescent="0.25">
      <c r="A35" s="102">
        <v>45490</v>
      </c>
      <c r="B35" s="101" t="s">
        <v>24</v>
      </c>
      <c r="C35" s="101" t="s">
        <v>25</v>
      </c>
      <c r="D35" s="103">
        <v>56</v>
      </c>
      <c r="E35" s="5" t="s">
        <v>16</v>
      </c>
      <c r="F35" s="103">
        <v>10</v>
      </c>
      <c r="G35" s="104">
        <v>5467.14</v>
      </c>
      <c r="J35" s="2">
        <f>[1]!s_dq_close(B35,$B$2,1)</f>
        <v>13.68</v>
      </c>
    </row>
    <row r="36" spans="1:10" x14ac:dyDescent="0.25">
      <c r="A36" s="102">
        <v>45490</v>
      </c>
      <c r="B36" s="101" t="s">
        <v>26</v>
      </c>
      <c r="C36" s="101" t="s">
        <v>27</v>
      </c>
      <c r="D36" s="103">
        <v>14</v>
      </c>
      <c r="E36" s="5" t="s">
        <v>17</v>
      </c>
      <c r="F36" s="103">
        <v>0</v>
      </c>
      <c r="G36" s="104">
        <v>806.69</v>
      </c>
      <c r="J36" s="2">
        <f>[1]!s_dq_close(B36,$B$2,1)</f>
        <v>8.24</v>
      </c>
    </row>
    <row r="37" spans="1:10" x14ac:dyDescent="0.25">
      <c r="A37" s="102">
        <v>45490</v>
      </c>
      <c r="B37" s="101" t="s">
        <v>193</v>
      </c>
      <c r="C37" s="101" t="s">
        <v>197</v>
      </c>
      <c r="D37" s="103">
        <v>153</v>
      </c>
      <c r="E37" s="5" t="s">
        <v>16</v>
      </c>
      <c r="F37" s="103">
        <v>10</v>
      </c>
      <c r="G37" s="104">
        <v>8848.73</v>
      </c>
      <c r="J37" s="2">
        <f>[1]!s_dq_close(B37,$B$2,1)</f>
        <v>8.01</v>
      </c>
    </row>
    <row r="38" spans="1:10" x14ac:dyDescent="0.25">
      <c r="A38" s="102">
        <v>45490</v>
      </c>
      <c r="B38" s="101" t="s">
        <v>28</v>
      </c>
      <c r="C38" s="101" t="s">
        <v>162</v>
      </c>
      <c r="D38" s="103">
        <v>5</v>
      </c>
      <c r="E38" s="5" t="s">
        <v>16</v>
      </c>
      <c r="F38" s="103">
        <v>10</v>
      </c>
      <c r="G38" s="104">
        <v>1219.45</v>
      </c>
      <c r="J38" s="2">
        <f>[1]!s_dq_close(B38,$B$2,1)</f>
        <v>34.270000000000003</v>
      </c>
    </row>
    <row r="39" spans="1:10" x14ac:dyDescent="0.25">
      <c r="A39" s="98"/>
      <c r="B39" s="98"/>
      <c r="C39" s="98"/>
      <c r="D39" s="98"/>
      <c r="E39" s="98"/>
      <c r="F39" s="98"/>
      <c r="G39" s="98"/>
    </row>
    <row r="40" spans="1:10" ht="13" x14ac:dyDescent="0.25">
      <c r="A40" s="98"/>
      <c r="B40" s="98"/>
      <c r="C40" s="98"/>
      <c r="D40" s="98"/>
      <c r="E40" s="98"/>
      <c r="F40" s="98"/>
      <c r="G40" s="98"/>
      <c r="H40" s="99" t="s">
        <v>333</v>
      </c>
      <c r="I40" s="2">
        <f>SUMPRODUCT(D6:D38,J6:J38)</f>
        <v>954547.5</v>
      </c>
    </row>
  </sheetData>
  <phoneticPr fontId="1" type="noConversion"/>
  <conditionalFormatting sqref="E6:E38">
    <cfRule type="cellIs" dxfId="5" priority="1" operator="equal">
      <formula>"必须"</formula>
    </cfRule>
    <cfRule type="cellIs" dxfId="4" priority="2" operator="equal">
      <formula>"退补"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898A-04BA-4F09-A38B-CF96FD65CAFE}">
  <dimension ref="A1:M40"/>
  <sheetViews>
    <sheetView workbookViewId="0">
      <selection activeCell="D5" sqref="D5:D38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1.6328125" style="2" customWidth="1"/>
    <col min="6" max="6" width="9.6328125" style="2" customWidth="1"/>
    <col min="7" max="7" width="12.6328125" style="2" customWidth="1"/>
    <col min="8" max="8" width="11.08984375" style="2" bestFit="1" customWidth="1"/>
    <col min="9" max="9" width="12.36328125" style="2" customWidth="1"/>
    <col min="10" max="10" width="11" style="2" customWidth="1"/>
    <col min="11" max="11" width="9.54296875" style="2" customWidth="1"/>
    <col min="12" max="16384" width="8.7265625" style="2"/>
  </cols>
  <sheetData>
    <row r="1" spans="1:13" ht="13" x14ac:dyDescent="0.25">
      <c r="A1" s="64" t="s">
        <v>0</v>
      </c>
      <c r="B1" s="64" t="s">
        <v>314</v>
      </c>
      <c r="C1" s="64" t="s">
        <v>336</v>
      </c>
      <c r="D1" s="48" t="s">
        <v>337</v>
      </c>
      <c r="E1" s="48" t="s">
        <v>338</v>
      </c>
      <c r="F1" s="48" t="s">
        <v>326</v>
      </c>
      <c r="G1" s="48" t="s">
        <v>327</v>
      </c>
      <c r="H1" s="48" t="s">
        <v>334</v>
      </c>
      <c r="I1" s="48" t="s">
        <v>339</v>
      </c>
      <c r="J1" s="48" t="s">
        <v>340</v>
      </c>
    </row>
    <row r="2" spans="1:13" ht="13" x14ac:dyDescent="0.25">
      <c r="A2" s="64" t="s">
        <v>229</v>
      </c>
      <c r="B2" s="82" t="s">
        <v>341</v>
      </c>
      <c r="C2" s="83">
        <v>45484</v>
      </c>
      <c r="D2" s="84">
        <v>45488</v>
      </c>
      <c r="E2" s="48">
        <v>20240716</v>
      </c>
      <c r="F2" s="84">
        <v>45485</v>
      </c>
      <c r="G2" s="84">
        <v>45483</v>
      </c>
      <c r="H2" s="48"/>
      <c r="I2" s="48"/>
      <c r="J2" s="48"/>
    </row>
    <row r="3" spans="1:13" ht="13" x14ac:dyDescent="0.25">
      <c r="A3" s="64" t="s">
        <v>3</v>
      </c>
      <c r="B3" s="82" t="s">
        <v>309</v>
      </c>
      <c r="C3" s="48"/>
      <c r="D3" s="48"/>
      <c r="E3" s="48"/>
      <c r="F3" s="48"/>
      <c r="G3" s="48"/>
      <c r="H3" s="48"/>
      <c r="I3" s="48"/>
      <c r="J3" s="48"/>
    </row>
    <row r="4" spans="1:13" ht="13" x14ac:dyDescent="0.25">
      <c r="A4" s="48" t="s">
        <v>4</v>
      </c>
      <c r="B4" s="82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  <c r="H4" s="48"/>
      <c r="I4" s="48"/>
      <c r="J4" s="48"/>
    </row>
    <row r="5" spans="1:13" ht="21.5" customHeight="1" x14ac:dyDescent="0.25">
      <c r="A5" s="64" t="s">
        <v>2</v>
      </c>
      <c r="B5" s="64" t="s">
        <v>3</v>
      </c>
      <c r="C5" s="64" t="s">
        <v>11</v>
      </c>
      <c r="D5" s="64" t="s">
        <v>12</v>
      </c>
      <c r="E5" s="64" t="s">
        <v>13</v>
      </c>
      <c r="F5" s="85" t="s">
        <v>14</v>
      </c>
      <c r="G5" s="64" t="s">
        <v>15</v>
      </c>
      <c r="H5" s="86"/>
      <c r="I5" s="48"/>
      <c r="J5" s="48" t="s">
        <v>342</v>
      </c>
      <c r="K5" s="2" t="s">
        <v>343</v>
      </c>
      <c r="L5" s="2" t="s">
        <v>344</v>
      </c>
      <c r="M5" s="2" t="s">
        <v>345</v>
      </c>
    </row>
    <row r="6" spans="1:13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45485</v>
      </c>
      <c r="B6" s="49" t="s">
        <v>317</v>
      </c>
      <c r="C6" s="49" t="s">
        <v>321</v>
      </c>
      <c r="D6" s="53">
        <v>942</v>
      </c>
      <c r="E6" s="49" t="s">
        <v>320</v>
      </c>
      <c r="F6" s="53">
        <v>10</v>
      </c>
      <c r="G6" s="50">
        <v>2684.2</v>
      </c>
      <c r="H6" s="89"/>
      <c r="I6" s="48"/>
      <c r="J6" s="90">
        <f>[1]!s_dq_close(B6,$B$2,1)</f>
        <v>3.31</v>
      </c>
      <c r="K6" s="2">
        <f>[1]!s_dq_close(B6,$C$2,1)</f>
        <v>3.18</v>
      </c>
      <c r="L6" s="2">
        <f>[1]!s_dq_close(B6,$D$2,1)</f>
        <v>3.23</v>
      </c>
      <c r="M6" s="2">
        <f>[1]!s_dq_close(B6,$G$2,1)</f>
        <v>3.12</v>
      </c>
    </row>
    <row r="7" spans="1:13" ht="13" x14ac:dyDescent="0.25">
      <c r="A7" s="51">
        <v>45485</v>
      </c>
      <c r="B7" s="49" t="s">
        <v>164</v>
      </c>
      <c r="C7" s="49" t="s">
        <v>165</v>
      </c>
      <c r="D7" s="53">
        <v>916</v>
      </c>
      <c r="E7" s="49" t="s">
        <v>16</v>
      </c>
      <c r="F7" s="53">
        <v>10</v>
      </c>
      <c r="G7" s="50">
        <v>315890.21000000002</v>
      </c>
      <c r="H7" s="89"/>
      <c r="I7" s="48"/>
      <c r="J7" s="90">
        <f>[1]!s_dq_close(B7,$B$2,1)</f>
        <v>397</v>
      </c>
      <c r="K7" s="2">
        <f>[1]!s_dq_close(B7,$C$2,1)</f>
        <v>384.8</v>
      </c>
      <c r="L7" s="2">
        <f>[1]!s_dq_close(B7,$D$2,1)</f>
        <v>390.2</v>
      </c>
      <c r="M7" s="2">
        <f>[1]!s_dq_close(B7,$G$2,1)</f>
        <v>377.6</v>
      </c>
    </row>
    <row r="8" spans="1:13" ht="13" x14ac:dyDescent="0.25">
      <c r="A8" s="51">
        <v>45485</v>
      </c>
      <c r="B8" s="49" t="s">
        <v>30</v>
      </c>
      <c r="C8" s="49" t="s">
        <v>31</v>
      </c>
      <c r="D8" s="53">
        <v>75</v>
      </c>
      <c r="E8" s="49" t="s">
        <v>16</v>
      </c>
      <c r="F8" s="53">
        <v>10</v>
      </c>
      <c r="G8" s="50">
        <v>1712.42</v>
      </c>
      <c r="H8" s="89"/>
      <c r="I8" s="48"/>
      <c r="J8" s="90">
        <f>[1]!s_dq_close(B8,$B$2,1)</f>
        <v>26.45</v>
      </c>
      <c r="K8" s="2">
        <f>[1]!s_dq_close(B8,$C$2,1)</f>
        <v>25.95</v>
      </c>
      <c r="L8" s="2">
        <f>[1]!s_dq_close(B8,$D$2,1)</f>
        <v>26.2</v>
      </c>
      <c r="M8" s="2">
        <f>[1]!s_dq_close(B8,$G$2,1)</f>
        <v>25</v>
      </c>
    </row>
    <row r="9" spans="1:13" ht="13" x14ac:dyDescent="0.25">
      <c r="A9" s="55">
        <v>45485</v>
      </c>
      <c r="B9" s="56" t="s">
        <v>158</v>
      </c>
      <c r="C9" s="56" t="s">
        <v>243</v>
      </c>
      <c r="D9" s="57">
        <v>198</v>
      </c>
      <c r="E9" s="56" t="s">
        <v>16</v>
      </c>
      <c r="F9" s="57">
        <v>10</v>
      </c>
      <c r="G9" s="58">
        <v>2705.24</v>
      </c>
      <c r="H9" s="89"/>
      <c r="I9" s="48"/>
      <c r="J9" s="90">
        <f>[1]!s_dq_close(B9,$B$2,1)</f>
        <v>15.4</v>
      </c>
      <c r="K9" s="2">
        <f>[1]!s_dq_close(B9,$C$2,1)</f>
        <v>15.5</v>
      </c>
      <c r="L9" s="2">
        <f>[1]!s_dq_close(B9,$D$2,1)</f>
        <v>15</v>
      </c>
      <c r="M9" s="2">
        <f>[1]!s_dq_close(B9,$G$2,1)</f>
        <v>14.96</v>
      </c>
    </row>
    <row r="10" spans="1:13" ht="13" x14ac:dyDescent="0.25">
      <c r="A10" s="55">
        <v>45485</v>
      </c>
      <c r="B10" s="56" t="s">
        <v>189</v>
      </c>
      <c r="C10" s="56" t="s">
        <v>190</v>
      </c>
      <c r="D10" s="57">
        <v>444</v>
      </c>
      <c r="E10" s="56" t="s">
        <v>16</v>
      </c>
      <c r="F10" s="57">
        <v>10</v>
      </c>
      <c r="G10" s="58">
        <v>19099.09</v>
      </c>
      <c r="H10" s="89"/>
      <c r="I10" s="48"/>
      <c r="J10" s="90">
        <f>[1]!s_dq_close(B10,$B$2,1)</f>
        <v>49.15</v>
      </c>
      <c r="K10" s="2">
        <f>[1]!s_dq_close(B10,$C$2,1)</f>
        <v>47.7</v>
      </c>
      <c r="L10" s="2">
        <f>[1]!s_dq_close(B10,$D$2,1)</f>
        <v>47.85</v>
      </c>
      <c r="M10" s="2">
        <f>[1]!s_dq_close(B10,$G$2,1)</f>
        <v>47.1</v>
      </c>
    </row>
    <row r="11" spans="1:13" ht="13" x14ac:dyDescent="0.25">
      <c r="A11" s="55">
        <v>45485</v>
      </c>
      <c r="B11" s="56" t="s">
        <v>276</v>
      </c>
      <c r="C11" s="56" t="s">
        <v>277</v>
      </c>
      <c r="D11" s="57">
        <v>75</v>
      </c>
      <c r="E11" s="56" t="s">
        <v>16</v>
      </c>
      <c r="F11" s="57">
        <v>10</v>
      </c>
      <c r="G11" s="58">
        <v>795.93</v>
      </c>
      <c r="H11" s="89"/>
      <c r="I11" s="48"/>
      <c r="J11" s="90">
        <f>[1]!s_dq_close(B11,$B$2,1)</f>
        <v>12.06</v>
      </c>
      <c r="K11" s="2">
        <f>[1]!s_dq_close(B11,$C$2,1)</f>
        <v>11.82</v>
      </c>
      <c r="L11" s="2">
        <f>[1]!s_dq_close(B11,$D$2,1)</f>
        <v>11.58</v>
      </c>
      <c r="M11" s="2">
        <f>[1]!s_dq_close(B11,$G$2,1)</f>
        <v>11.62</v>
      </c>
    </row>
    <row r="12" spans="1:13" ht="13" x14ac:dyDescent="0.25">
      <c r="A12" s="55">
        <v>45485</v>
      </c>
      <c r="B12" s="56" t="s">
        <v>172</v>
      </c>
      <c r="C12" s="56" t="s">
        <v>173</v>
      </c>
      <c r="D12" s="57">
        <v>2563</v>
      </c>
      <c r="E12" s="56" t="s">
        <v>16</v>
      </c>
      <c r="F12" s="57">
        <v>10</v>
      </c>
      <c r="G12" s="58">
        <v>37733.089999999997</v>
      </c>
      <c r="H12" s="89"/>
      <c r="I12" s="48"/>
      <c r="J12" s="90">
        <f>[1]!s_dq_close(B12,$B$2,1)</f>
        <v>16.84</v>
      </c>
      <c r="K12" s="2">
        <f>[1]!s_dq_close(B12,$C$2,1)</f>
        <v>16.68</v>
      </c>
      <c r="L12" s="2">
        <f>[1]!s_dq_close(B12,$D$2,1)</f>
        <v>16.46</v>
      </c>
      <c r="M12" s="2">
        <f>[1]!s_dq_close(B12,$G$2,1)</f>
        <v>16.12</v>
      </c>
    </row>
    <row r="13" spans="1:13" ht="13" x14ac:dyDescent="0.25">
      <c r="A13" s="55">
        <v>45485</v>
      </c>
      <c r="B13" s="56" t="s">
        <v>166</v>
      </c>
      <c r="C13" s="56" t="s">
        <v>167</v>
      </c>
      <c r="D13" s="57">
        <v>98</v>
      </c>
      <c r="E13" s="56" t="s">
        <v>16</v>
      </c>
      <c r="F13" s="57">
        <v>10</v>
      </c>
      <c r="G13" s="58">
        <v>923.66</v>
      </c>
      <c r="H13" s="89"/>
      <c r="I13" s="48"/>
      <c r="J13" s="90">
        <f>[1]!s_dq_close(B13,$B$2,1)</f>
        <v>10.8</v>
      </c>
      <c r="K13" s="2">
        <f>[1]!s_dq_close(B13,$C$2,1)</f>
        <v>10.52</v>
      </c>
      <c r="L13" s="2">
        <f>[1]!s_dq_close(B13,$D$2,1)</f>
        <v>10.38</v>
      </c>
      <c r="M13" s="2">
        <f>[1]!s_dq_close(B13,$G$2,1)</f>
        <v>10.32</v>
      </c>
    </row>
    <row r="14" spans="1:13" ht="13" x14ac:dyDescent="0.25">
      <c r="A14" s="55">
        <v>45485</v>
      </c>
      <c r="B14" s="56" t="s">
        <v>132</v>
      </c>
      <c r="C14" s="56" t="s">
        <v>179</v>
      </c>
      <c r="D14" s="57">
        <v>913</v>
      </c>
      <c r="E14" s="56" t="s">
        <v>16</v>
      </c>
      <c r="F14" s="57">
        <v>10</v>
      </c>
      <c r="G14" s="58">
        <v>95807.5</v>
      </c>
      <c r="H14" s="89"/>
      <c r="I14" s="48"/>
      <c r="J14" s="90">
        <f>[1]!s_dq_close(B14,$B$2,1)</f>
        <v>121.8</v>
      </c>
      <c r="K14" s="2">
        <f>[1]!s_dq_close(B14,$C$2,1)</f>
        <v>116.1</v>
      </c>
      <c r="L14" s="2">
        <f>[1]!s_dq_close(B14,$D$2,1)</f>
        <v>119.1</v>
      </c>
      <c r="M14" s="2">
        <f>[1]!s_dq_close(B14,$G$2,1)</f>
        <v>114.9</v>
      </c>
    </row>
    <row r="15" spans="1:13" ht="13" x14ac:dyDescent="0.25">
      <c r="A15" s="55">
        <v>45485</v>
      </c>
      <c r="B15" s="56" t="s">
        <v>18</v>
      </c>
      <c r="C15" s="56" t="s">
        <v>19</v>
      </c>
      <c r="D15" s="57">
        <v>140</v>
      </c>
      <c r="E15" s="56" t="s">
        <v>16</v>
      </c>
      <c r="F15" s="57">
        <v>10</v>
      </c>
      <c r="G15" s="58">
        <v>2838.51</v>
      </c>
      <c r="H15" s="89"/>
      <c r="I15" s="48"/>
      <c r="J15" s="90">
        <f>[1]!s_dq_close(B15,$B$2,1)</f>
        <v>23</v>
      </c>
      <c r="K15" s="2">
        <f>[1]!s_dq_close(B15,$C$2,1)</f>
        <v>22.45</v>
      </c>
      <c r="L15" s="2">
        <f>[1]!s_dq_close(B15,$D$2,1)</f>
        <v>22.3</v>
      </c>
      <c r="M15" s="2">
        <f>[1]!s_dq_close(B15,$G$2,1)</f>
        <v>22.2</v>
      </c>
    </row>
    <row r="16" spans="1:13" ht="13" x14ac:dyDescent="0.25">
      <c r="A16" s="55">
        <v>45485</v>
      </c>
      <c r="B16" s="56" t="s">
        <v>181</v>
      </c>
      <c r="C16" s="56" t="s">
        <v>182</v>
      </c>
      <c r="D16" s="57">
        <v>125</v>
      </c>
      <c r="E16" s="56" t="s">
        <v>16</v>
      </c>
      <c r="F16" s="57">
        <v>10</v>
      </c>
      <c r="G16" s="58">
        <v>1456.7</v>
      </c>
      <c r="H16" s="89"/>
      <c r="I16" s="48"/>
      <c r="J16" s="90">
        <f>[1]!s_dq_close(B16,$B$2,1)</f>
        <v>13.46</v>
      </c>
      <c r="K16" s="2">
        <f>[1]!s_dq_close(B16,$C$2,1)</f>
        <v>13.08</v>
      </c>
      <c r="L16" s="2">
        <f>[1]!s_dq_close(B16,$D$2,1)</f>
        <v>13</v>
      </c>
      <c r="M16" s="2">
        <f>[1]!s_dq_close(B16,$G$2,1)</f>
        <v>12.76</v>
      </c>
    </row>
    <row r="17" spans="1:13" ht="13" x14ac:dyDescent="0.25">
      <c r="A17" s="55">
        <v>45485</v>
      </c>
      <c r="B17" s="56" t="s">
        <v>183</v>
      </c>
      <c r="C17" s="56" t="s">
        <v>184</v>
      </c>
      <c r="D17" s="57">
        <v>187</v>
      </c>
      <c r="E17" s="56" t="s">
        <v>16</v>
      </c>
      <c r="F17" s="57">
        <v>10</v>
      </c>
      <c r="G17" s="58">
        <v>3526.71</v>
      </c>
      <c r="H17" s="89"/>
      <c r="I17" s="48"/>
      <c r="J17" s="90">
        <f>[1]!s_dq_close(B17,$B$2,1)</f>
        <v>22.75</v>
      </c>
      <c r="K17" s="2">
        <f>[1]!s_dq_close(B17,$C$2,1)</f>
        <v>21.4</v>
      </c>
      <c r="L17" s="2">
        <f>[1]!s_dq_close(B17,$D$2,1)</f>
        <v>21.55</v>
      </c>
      <c r="M17" s="2">
        <f>[1]!s_dq_close(B17,$G$2,1)</f>
        <v>20.65</v>
      </c>
    </row>
    <row r="18" spans="1:13" ht="13" x14ac:dyDescent="0.25">
      <c r="A18" s="55">
        <v>45485</v>
      </c>
      <c r="B18" s="56" t="s">
        <v>253</v>
      </c>
      <c r="C18" s="56" t="s">
        <v>254</v>
      </c>
      <c r="D18" s="57">
        <v>370</v>
      </c>
      <c r="E18" s="56" t="s">
        <v>16</v>
      </c>
      <c r="F18" s="57">
        <v>10</v>
      </c>
      <c r="G18" s="58">
        <v>35109.61</v>
      </c>
      <c r="H18" s="89"/>
      <c r="I18" s="48"/>
      <c r="J18" s="90">
        <f>[1]!s_dq_close(B18,$B$2,1)</f>
        <v>112</v>
      </c>
      <c r="K18" s="2">
        <f>[1]!s_dq_close(B18,$C$2,1)</f>
        <v>106.8</v>
      </c>
      <c r="L18" s="2">
        <f>[1]!s_dq_close(B18,$D$2,1)</f>
        <v>106.7</v>
      </c>
      <c r="M18" s="2">
        <f>[1]!s_dq_close(B18,$G$2,1)</f>
        <v>103.9</v>
      </c>
    </row>
    <row r="19" spans="1:13" ht="13" x14ac:dyDescent="0.25">
      <c r="A19" s="55">
        <v>45485</v>
      </c>
      <c r="B19" s="56" t="s">
        <v>255</v>
      </c>
      <c r="C19" s="56" t="s">
        <v>265</v>
      </c>
      <c r="D19" s="57">
        <v>42</v>
      </c>
      <c r="E19" s="56" t="s">
        <v>16</v>
      </c>
      <c r="F19" s="57">
        <v>10</v>
      </c>
      <c r="G19" s="58">
        <v>5005.74</v>
      </c>
      <c r="H19" s="89"/>
      <c r="I19" s="48"/>
      <c r="J19" s="90">
        <f>[1]!s_dq_close(B19,$B$2,1)</f>
        <v>136.5</v>
      </c>
      <c r="K19" s="2">
        <f>[1]!s_dq_close(B19,$C$2,1)</f>
        <v>134.30000000000001</v>
      </c>
      <c r="L19" s="2">
        <f>[1]!s_dq_close(B19,$D$2,1)</f>
        <v>125.5</v>
      </c>
      <c r="M19" s="2">
        <f>[1]!s_dq_close(B19,$G$2,1)</f>
        <v>130.5</v>
      </c>
    </row>
    <row r="20" spans="1:13" ht="13" x14ac:dyDescent="0.25">
      <c r="A20" s="55">
        <v>45485</v>
      </c>
      <c r="B20" s="56" t="s">
        <v>302</v>
      </c>
      <c r="C20" s="56" t="s">
        <v>303</v>
      </c>
      <c r="D20" s="57">
        <v>56</v>
      </c>
      <c r="E20" s="56" t="s">
        <v>17</v>
      </c>
      <c r="F20" s="57">
        <v>0</v>
      </c>
      <c r="G20" s="58">
        <v>408.13</v>
      </c>
      <c r="H20" s="89"/>
      <c r="I20" s="48"/>
      <c r="J20" s="90">
        <f>[1]!s_dq_close(B20,$B$2,1)</f>
        <v>8.1300000000000008</v>
      </c>
      <c r="K20" s="2">
        <f>[1]!s_dq_close(B20,$C$2,1)</f>
        <v>8.06</v>
      </c>
      <c r="L20" s="2">
        <f>[1]!s_dq_close(B20,$D$2,1)</f>
        <v>7.9</v>
      </c>
      <c r="M20" s="2">
        <f>[1]!s_dq_close(B20,$G$2,1)</f>
        <v>7.98</v>
      </c>
    </row>
    <row r="21" spans="1:13" ht="13" x14ac:dyDescent="0.25">
      <c r="A21" s="55">
        <v>45485</v>
      </c>
      <c r="B21" s="56" t="s">
        <v>256</v>
      </c>
      <c r="C21" s="56" t="s">
        <v>257</v>
      </c>
      <c r="D21" s="57">
        <v>414</v>
      </c>
      <c r="E21" s="56" t="s">
        <v>16</v>
      </c>
      <c r="F21" s="57">
        <v>10</v>
      </c>
      <c r="G21" s="58">
        <v>35938.6</v>
      </c>
      <c r="H21" s="89"/>
      <c r="I21" s="48"/>
      <c r="J21" s="90">
        <f>[1]!s_dq_close(B21,$B$2,1)</f>
        <v>99.5</v>
      </c>
      <c r="K21" s="2">
        <f>[1]!s_dq_close(B21,$C$2,1)</f>
        <v>97.2</v>
      </c>
      <c r="L21" s="2">
        <f>[1]!s_dq_close(B21,$D$2,1)</f>
        <v>93.95</v>
      </c>
      <c r="M21" s="2">
        <f>[1]!s_dq_close(B21,$G$2,1)</f>
        <v>95.05</v>
      </c>
    </row>
    <row r="22" spans="1:13" ht="13" x14ac:dyDescent="0.25">
      <c r="A22" s="55">
        <v>45485</v>
      </c>
      <c r="B22" s="56" t="s">
        <v>304</v>
      </c>
      <c r="C22" s="56" t="s">
        <v>305</v>
      </c>
      <c r="D22" s="57">
        <v>31</v>
      </c>
      <c r="E22" s="56" t="s">
        <v>17</v>
      </c>
      <c r="F22" s="57">
        <v>0</v>
      </c>
      <c r="G22" s="58">
        <v>347.67</v>
      </c>
      <c r="H22" s="89"/>
      <c r="I22" s="48"/>
      <c r="J22" s="90">
        <f>[1]!s_dq_close(B22,$B$2,1)</f>
        <v>12.68</v>
      </c>
      <c r="K22" s="2">
        <f>[1]!s_dq_close(B22,$C$2,1)</f>
        <v>12.4</v>
      </c>
      <c r="L22" s="2">
        <f>[1]!s_dq_close(B22,$D$2,1)</f>
        <v>12.04</v>
      </c>
      <c r="M22" s="2">
        <f>[1]!s_dq_close(B22,$G$2,1)</f>
        <v>12.28</v>
      </c>
    </row>
    <row r="23" spans="1:13" ht="13" x14ac:dyDescent="0.25">
      <c r="A23" s="55">
        <v>45485</v>
      </c>
      <c r="B23" s="56" t="s">
        <v>258</v>
      </c>
      <c r="C23" s="56" t="s">
        <v>259</v>
      </c>
      <c r="D23" s="57">
        <v>100</v>
      </c>
      <c r="E23" s="56" t="s">
        <v>16</v>
      </c>
      <c r="F23" s="57">
        <v>10</v>
      </c>
      <c r="G23" s="58">
        <v>35764.44</v>
      </c>
      <c r="H23" s="89"/>
      <c r="I23" s="48"/>
      <c r="J23" s="90">
        <f>[1]!s_dq_close(B23,$B$2,1)</f>
        <v>395.6</v>
      </c>
      <c r="K23" s="2">
        <f>[1]!s_dq_close(B23,$C$2,1)</f>
        <v>392.6</v>
      </c>
      <c r="L23" s="2">
        <f>[1]!s_dq_close(B23,$D$2,1)</f>
        <v>388.4</v>
      </c>
      <c r="M23" s="2">
        <f>[1]!s_dq_close(B23,$G$2,1)</f>
        <v>391.6</v>
      </c>
    </row>
    <row r="24" spans="1:13" ht="13" x14ac:dyDescent="0.25">
      <c r="A24" s="55">
        <v>45485</v>
      </c>
      <c r="B24" s="56" t="s">
        <v>260</v>
      </c>
      <c r="C24" s="56" t="s">
        <v>261</v>
      </c>
      <c r="D24" s="57">
        <v>3100</v>
      </c>
      <c r="E24" s="56" t="s">
        <v>16</v>
      </c>
      <c r="F24" s="57">
        <v>10</v>
      </c>
      <c r="G24" s="58">
        <v>206960.65</v>
      </c>
      <c r="H24" s="89"/>
      <c r="I24" s="48"/>
      <c r="J24" s="90">
        <f>[1]!s_dq_close(B24,$B$2,1)</f>
        <v>78.400000000000006</v>
      </c>
      <c r="K24" s="2">
        <f>[1]!s_dq_close(B24,$C$2,1)</f>
        <v>75.45</v>
      </c>
      <c r="L24" s="2">
        <f>[1]!s_dq_close(B24,$D$2,1)</f>
        <v>76.650000000000006</v>
      </c>
      <c r="M24" s="2">
        <f>[1]!s_dq_close(B24,$G$2,1)</f>
        <v>73.099999999999994</v>
      </c>
    </row>
    <row r="25" spans="1:13" ht="13" x14ac:dyDescent="0.25">
      <c r="A25" s="55">
        <v>45485</v>
      </c>
      <c r="B25" s="56" t="s">
        <v>262</v>
      </c>
      <c r="C25" s="56" t="s">
        <v>263</v>
      </c>
      <c r="D25" s="57">
        <v>288</v>
      </c>
      <c r="E25" s="56" t="s">
        <v>16</v>
      </c>
      <c r="F25" s="57">
        <v>10</v>
      </c>
      <c r="G25" s="58">
        <v>37271</v>
      </c>
      <c r="H25" s="89"/>
      <c r="I25" s="48"/>
      <c r="J25" s="90">
        <f>[1]!s_dq_close(B25,$B$2,1)</f>
        <v>144</v>
      </c>
      <c r="K25" s="2">
        <f>[1]!s_dq_close(B25,$C$2,1)</f>
        <v>142.6</v>
      </c>
      <c r="L25" s="2">
        <f>[1]!s_dq_close(B25,$D$2,1)</f>
        <v>144.9</v>
      </c>
      <c r="M25" s="2">
        <f>[1]!s_dq_close(B25,$G$2,1)</f>
        <v>141.69999999999999</v>
      </c>
    </row>
    <row r="26" spans="1:13" ht="13" x14ac:dyDescent="0.25">
      <c r="A26" s="3">
        <v>45485</v>
      </c>
      <c r="B26" s="5" t="s">
        <v>20</v>
      </c>
      <c r="C26" s="5" t="s">
        <v>21</v>
      </c>
      <c r="D26" s="52">
        <v>11</v>
      </c>
      <c r="E26" s="5" t="s">
        <v>16</v>
      </c>
      <c r="F26" s="52">
        <v>10</v>
      </c>
      <c r="G26" s="20">
        <v>2166.73</v>
      </c>
      <c r="H26" s="89"/>
      <c r="I26" s="48"/>
      <c r="J26" s="90">
        <f>[1]!s_dq_close(B26,$B$2,1)</f>
        <v>28.22</v>
      </c>
      <c r="K26" s="2">
        <f>[1]!s_dq_close(B26,$C$2,1)</f>
        <v>28.12</v>
      </c>
      <c r="L26" s="2">
        <f>[1]!s_dq_close(B26,$D$2,1)</f>
        <v>27.36</v>
      </c>
      <c r="M26" s="2">
        <f>[1]!s_dq_close(B26,$G$2,1)</f>
        <v>27.61</v>
      </c>
    </row>
    <row r="27" spans="1:13" ht="13" x14ac:dyDescent="0.25">
      <c r="A27" s="3">
        <v>45485</v>
      </c>
      <c r="B27" s="5" t="s">
        <v>174</v>
      </c>
      <c r="C27" s="5" t="s">
        <v>194</v>
      </c>
      <c r="D27" s="52">
        <v>108</v>
      </c>
      <c r="E27" s="5" t="s">
        <v>16</v>
      </c>
      <c r="F27" s="52">
        <v>10</v>
      </c>
      <c r="G27" s="20">
        <v>11934.95</v>
      </c>
      <c r="H27" s="89"/>
      <c r="I27" s="48"/>
      <c r="J27" s="90">
        <f>[1]!s_dq_close(B27,$B$2,1)</f>
        <v>15.63</v>
      </c>
      <c r="K27" s="2">
        <f>[1]!s_dq_close(B27,$C$2,1)</f>
        <v>15.32</v>
      </c>
      <c r="L27" s="2">
        <f>[1]!s_dq_close(B27,$D$2,1)</f>
        <v>14.75</v>
      </c>
      <c r="M27" s="2">
        <f>[1]!s_dq_close(B27,$G$2,1)</f>
        <v>15.49</v>
      </c>
    </row>
    <row r="28" spans="1:13" ht="13" x14ac:dyDescent="0.25">
      <c r="A28" s="3">
        <v>45485</v>
      </c>
      <c r="B28" s="5" t="s">
        <v>231</v>
      </c>
      <c r="C28" s="5" t="s">
        <v>232</v>
      </c>
      <c r="D28" s="52">
        <v>65</v>
      </c>
      <c r="E28" s="5" t="s">
        <v>16</v>
      </c>
      <c r="F28" s="52">
        <v>10</v>
      </c>
      <c r="G28" s="20">
        <v>8699.44</v>
      </c>
      <c r="H28" s="89"/>
      <c r="I28" s="48"/>
      <c r="J28" s="90">
        <f>[1]!s_dq_close(B28,$B$2,1)</f>
        <v>19.09</v>
      </c>
      <c r="K28" s="2">
        <f>[1]!s_dq_close(B28,$C$2,1)</f>
        <v>18.96</v>
      </c>
      <c r="L28" s="2">
        <f>[1]!s_dq_close(B28,$D$2,1)</f>
        <v>17.690000000000001</v>
      </c>
      <c r="M28" s="2">
        <f>[1]!s_dq_close(B28,$G$2,1)</f>
        <v>18.760000000000002</v>
      </c>
    </row>
    <row r="29" spans="1:13" ht="13" x14ac:dyDescent="0.25">
      <c r="A29" s="3">
        <v>45485</v>
      </c>
      <c r="B29" s="5" t="s">
        <v>29</v>
      </c>
      <c r="C29" s="5" t="s">
        <v>195</v>
      </c>
      <c r="D29" s="52">
        <v>46</v>
      </c>
      <c r="E29" s="5" t="s">
        <v>16</v>
      </c>
      <c r="F29" s="52">
        <v>10</v>
      </c>
      <c r="G29" s="20">
        <v>1286.44</v>
      </c>
      <c r="H29" s="89"/>
      <c r="I29" s="48"/>
      <c r="J29" s="90">
        <f>[1]!s_dq_close(B29,$B$2,1)</f>
        <v>4</v>
      </c>
      <c r="K29" s="2">
        <f>[1]!s_dq_close(B29,$C$2,1)</f>
        <v>4.08</v>
      </c>
      <c r="L29" s="2">
        <f>[1]!s_dq_close(B29,$D$2,1)</f>
        <v>3.79</v>
      </c>
      <c r="M29" s="2">
        <f>[1]!s_dq_close(B29,$G$2,1)</f>
        <v>3.92</v>
      </c>
    </row>
    <row r="30" spans="1:13" ht="13" x14ac:dyDescent="0.25">
      <c r="A30" s="3">
        <v>45485</v>
      </c>
      <c r="B30" s="5" t="s">
        <v>180</v>
      </c>
      <c r="C30" s="5" t="s">
        <v>196</v>
      </c>
      <c r="D30" s="52">
        <v>34</v>
      </c>
      <c r="E30" s="5" t="s">
        <v>16</v>
      </c>
      <c r="F30" s="52">
        <v>10</v>
      </c>
      <c r="G30" s="20">
        <v>696.16</v>
      </c>
      <c r="H30" s="89"/>
      <c r="I30" s="48"/>
      <c r="J30" s="90">
        <f>[1]!s_dq_close(B30,$B$2,1)</f>
        <v>2.95</v>
      </c>
      <c r="K30" s="2">
        <f>[1]!s_dq_close(B30,$C$2,1)</f>
        <v>2.95</v>
      </c>
      <c r="L30" s="2">
        <f>[1]!s_dq_close(B30,$D$2,1)</f>
        <v>2.88</v>
      </c>
      <c r="M30" s="2">
        <f>[1]!s_dq_close(B30,$G$2,1)</f>
        <v>2.87</v>
      </c>
    </row>
    <row r="31" spans="1:13" ht="13" x14ac:dyDescent="0.25">
      <c r="A31" s="3">
        <v>45485</v>
      </c>
      <c r="B31" s="5" t="s">
        <v>150</v>
      </c>
      <c r="C31" s="5" t="s">
        <v>151</v>
      </c>
      <c r="D31" s="52">
        <v>122</v>
      </c>
      <c r="E31" s="5" t="s">
        <v>16</v>
      </c>
      <c r="F31" s="52">
        <v>10</v>
      </c>
      <c r="G31" s="20">
        <v>120172.32</v>
      </c>
      <c r="H31" s="89"/>
      <c r="I31" s="48"/>
      <c r="J31" s="90">
        <f>[1]!s_dq_close(B31,$B$2,1)</f>
        <v>142.41999999999999</v>
      </c>
      <c r="K31" s="2">
        <f>[1]!s_dq_close(B31,$C$2,1)</f>
        <v>139.24</v>
      </c>
      <c r="L31" s="2">
        <f>[1]!s_dq_close(B31,$D$2,1)</f>
        <v>137.99</v>
      </c>
      <c r="M31" s="2">
        <f>[1]!s_dq_close(B31,$G$2,1)</f>
        <v>138.07</v>
      </c>
    </row>
    <row r="32" spans="1:13" ht="13" x14ac:dyDescent="0.25">
      <c r="A32" s="3">
        <v>45485</v>
      </c>
      <c r="B32" s="5" t="s">
        <v>192</v>
      </c>
      <c r="C32" s="5" t="s">
        <v>284</v>
      </c>
      <c r="D32" s="52">
        <v>23</v>
      </c>
      <c r="E32" s="5" t="s">
        <v>16</v>
      </c>
      <c r="F32" s="52">
        <v>10</v>
      </c>
      <c r="G32" s="20">
        <v>3303.06</v>
      </c>
      <c r="H32" s="89"/>
      <c r="I32" s="48"/>
      <c r="J32" s="90">
        <f>[1]!s_dq_close(B32,$B$2,1)</f>
        <v>20.45</v>
      </c>
      <c r="K32" s="2">
        <f>[1]!s_dq_close(B32,$C$2,1)</f>
        <v>20.18</v>
      </c>
      <c r="L32" s="2">
        <f>[1]!s_dq_close(B32,$D$2,1)</f>
        <v>19.77</v>
      </c>
      <c r="M32" s="2">
        <f>[1]!s_dq_close(B32,$G$2,1)</f>
        <v>20.13</v>
      </c>
    </row>
    <row r="33" spans="1:13" ht="13" x14ac:dyDescent="0.25">
      <c r="A33" s="3">
        <v>45485</v>
      </c>
      <c r="B33" s="5" t="s">
        <v>22</v>
      </c>
      <c r="C33" s="5" t="s">
        <v>23</v>
      </c>
      <c r="D33" s="52">
        <v>75</v>
      </c>
      <c r="E33" s="5" t="s">
        <v>16</v>
      </c>
      <c r="F33" s="52">
        <v>10</v>
      </c>
      <c r="G33" s="20">
        <v>5596.78</v>
      </c>
      <c r="H33" s="89"/>
      <c r="I33" s="48"/>
      <c r="J33" s="90">
        <f>[1]!s_dq_close(B33,$B$2,1)</f>
        <v>10.81</v>
      </c>
      <c r="K33" s="2">
        <f>[1]!s_dq_close(B33,$C$2,1)</f>
        <v>10.68</v>
      </c>
      <c r="L33" s="2">
        <f>[1]!s_dq_close(B33,$D$2,1)</f>
        <v>10.15</v>
      </c>
      <c r="M33" s="2">
        <f>[1]!s_dq_close(B33,$G$2,1)</f>
        <v>10.46</v>
      </c>
    </row>
    <row r="34" spans="1:13" ht="13" x14ac:dyDescent="0.25">
      <c r="A34" s="3">
        <v>45485</v>
      </c>
      <c r="B34" s="5" t="s">
        <v>153</v>
      </c>
      <c r="C34" s="5" t="s">
        <v>154</v>
      </c>
      <c r="D34" s="52">
        <v>100</v>
      </c>
      <c r="E34" s="5" t="s">
        <v>16</v>
      </c>
      <c r="F34" s="52">
        <v>10</v>
      </c>
      <c r="G34" s="20">
        <v>10744.11</v>
      </c>
      <c r="H34" s="89"/>
      <c r="I34" s="48"/>
      <c r="J34" s="90">
        <f>[1]!s_dq_close(B34,$B$2,1)</f>
        <v>15.13</v>
      </c>
      <c r="K34" s="2">
        <f>[1]!s_dq_close(B34,$C$2,1)</f>
        <v>14.98</v>
      </c>
      <c r="L34" s="2">
        <f>[1]!s_dq_close(B34,$D$2,1)</f>
        <v>14.86</v>
      </c>
      <c r="M34" s="2">
        <f>[1]!s_dq_close(B34,$G$2,1)</f>
        <v>15.06</v>
      </c>
    </row>
    <row r="35" spans="1:13" ht="13" x14ac:dyDescent="0.25">
      <c r="A35" s="3">
        <v>45485</v>
      </c>
      <c r="B35" s="5" t="s">
        <v>24</v>
      </c>
      <c r="C35" s="5" t="s">
        <v>25</v>
      </c>
      <c r="D35" s="52">
        <v>56</v>
      </c>
      <c r="E35" s="5" t="s">
        <v>16</v>
      </c>
      <c r="F35" s="52">
        <v>10</v>
      </c>
      <c r="G35" s="20">
        <v>5349.51</v>
      </c>
      <c r="H35" s="89"/>
      <c r="I35" s="48"/>
      <c r="J35" s="90">
        <f>[1]!s_dq_close(B35,$B$2,1)</f>
        <v>14.11</v>
      </c>
      <c r="K35" s="2">
        <f>[1]!s_dq_close(B35,$C$2,1)</f>
        <v>14.24</v>
      </c>
      <c r="L35" s="2">
        <f>[1]!s_dq_close(B35,$D$2,1)</f>
        <v>13.69</v>
      </c>
      <c r="M35" s="2">
        <f>[1]!s_dq_close(B35,$G$2,1)</f>
        <v>13.39</v>
      </c>
    </row>
    <row r="36" spans="1:13" ht="13" x14ac:dyDescent="0.25">
      <c r="A36" s="3">
        <v>45485</v>
      </c>
      <c r="B36" s="5" t="s">
        <v>26</v>
      </c>
      <c r="C36" s="5" t="s">
        <v>27</v>
      </c>
      <c r="D36" s="52">
        <v>14</v>
      </c>
      <c r="E36" s="5" t="s">
        <v>17</v>
      </c>
      <c r="F36" s="52">
        <v>0</v>
      </c>
      <c r="G36" s="20">
        <v>829.99</v>
      </c>
      <c r="H36" s="89"/>
      <c r="I36" s="48"/>
      <c r="J36" s="90">
        <f>[1]!s_dq_close(B36,$B$2,1)</f>
        <v>8.5</v>
      </c>
      <c r="K36" s="2">
        <f>[1]!s_dq_close(B36,$C$2,1)</f>
        <v>8.59</v>
      </c>
      <c r="L36" s="2">
        <f>[1]!s_dq_close(B36,$D$2,1)</f>
        <v>8.08</v>
      </c>
      <c r="M36" s="2">
        <f>[1]!s_dq_close(B36,$G$2,1)</f>
        <v>8.31</v>
      </c>
    </row>
    <row r="37" spans="1:13" ht="13" x14ac:dyDescent="0.25">
      <c r="A37" s="3">
        <v>45485</v>
      </c>
      <c r="B37" s="5" t="s">
        <v>193</v>
      </c>
      <c r="C37" s="5" t="s">
        <v>197</v>
      </c>
      <c r="D37" s="52">
        <v>153</v>
      </c>
      <c r="E37" s="5" t="s">
        <v>16</v>
      </c>
      <c r="F37" s="52">
        <v>10</v>
      </c>
      <c r="G37" s="20">
        <v>8895.99</v>
      </c>
      <c r="H37" s="89"/>
      <c r="I37" s="48"/>
      <c r="J37" s="90">
        <f>[1]!s_dq_close(B37,$B$2,1)</f>
        <v>8.25</v>
      </c>
      <c r="K37" s="2">
        <f>[1]!s_dq_close(B37,$C$2,1)</f>
        <v>8.33</v>
      </c>
      <c r="L37" s="2">
        <f>[1]!s_dq_close(B37,$D$2,1)</f>
        <v>8.11</v>
      </c>
      <c r="M37" s="2">
        <f>[1]!s_dq_close(B37,$G$2,1)</f>
        <v>8.15</v>
      </c>
    </row>
    <row r="38" spans="1:13" ht="13" x14ac:dyDescent="0.25">
      <c r="A38" s="3">
        <v>45485</v>
      </c>
      <c r="B38" s="5" t="s">
        <v>28</v>
      </c>
      <c r="C38" s="5" t="s">
        <v>162</v>
      </c>
      <c r="D38" s="52">
        <v>5</v>
      </c>
      <c r="E38" s="5" t="s">
        <v>16</v>
      </c>
      <c r="F38" s="52">
        <v>10</v>
      </c>
      <c r="G38" s="20">
        <v>1226.73</v>
      </c>
      <c r="H38" s="89"/>
      <c r="I38" s="48"/>
      <c r="J38" s="90">
        <f>[1]!s_dq_close(B38,$B$2,1)</f>
        <v>34.68</v>
      </c>
      <c r="K38" s="2">
        <f>[1]!s_dq_close(B38,$C$2,1)</f>
        <v>33.96</v>
      </c>
      <c r="L38" s="2">
        <f>[1]!s_dq_close(B38,$D$2,1)</f>
        <v>34.200000000000003</v>
      </c>
      <c r="M38" s="2">
        <f>[1]!s_dq_close(B38,$G$2,1)</f>
        <v>34.39</v>
      </c>
    </row>
    <row r="39" spans="1:13" ht="13" x14ac:dyDescent="0.25">
      <c r="G39" s="94"/>
      <c r="H39" s="95"/>
      <c r="I39" s="95"/>
      <c r="J39" s="48"/>
    </row>
    <row r="40" spans="1:13" ht="13" x14ac:dyDescent="0.25">
      <c r="H40" s="96" t="s">
        <v>332</v>
      </c>
      <c r="I40" s="96">
        <f>SUMPRODUCT(D6:D38,J6:J38)</f>
        <v>998433.66000000015</v>
      </c>
      <c r="J40" s="48"/>
      <c r="K40" s="2">
        <f>SUMPRODUCT(D6:D38,K6:K38)</f>
        <v>967167.44000000029</v>
      </c>
      <c r="L40" s="2">
        <f>SUMPRODUCT(D6:D38,L6:L38)</f>
        <v>976025.66999999993</v>
      </c>
      <c r="M40" s="2">
        <f>SUMPRODUCT(D6:D38,M6:M38)</f>
        <v>947275.68999999983</v>
      </c>
    </row>
  </sheetData>
  <phoneticPr fontId="1" type="noConversion"/>
  <conditionalFormatting sqref="E1:E40">
    <cfRule type="cellIs" dxfId="3" priority="1" operator="equal">
      <formula>"必须"</formula>
    </cfRule>
    <cfRule type="cellIs" dxfId="2" priority="2" operator="equal">
      <formula>"退补"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715A-B95B-454E-9C2D-6E7CDE2E4885}">
  <dimension ref="A1:J40"/>
  <sheetViews>
    <sheetView workbookViewId="0">
      <selection activeCell="D5" sqref="D5:D38"/>
    </sheetView>
  </sheetViews>
  <sheetFormatPr defaultRowHeight="12.5" x14ac:dyDescent="0.25"/>
  <cols>
    <col min="1" max="1" width="12.6328125" style="105" customWidth="1"/>
    <col min="2" max="2" width="10.6328125" style="105" customWidth="1"/>
    <col min="3" max="3" width="12.26953125" style="105" bestFit="1" customWidth="1"/>
    <col min="4" max="5" width="10.6328125" style="105" customWidth="1"/>
    <col min="6" max="6" width="13.6328125" style="105" customWidth="1"/>
    <col min="7" max="7" width="11.6328125" style="105" customWidth="1"/>
    <col min="8" max="8" width="11.08984375" style="105" bestFit="1" customWidth="1"/>
    <col min="9" max="9" width="14.26953125" style="105" customWidth="1"/>
    <col min="10" max="10" width="11.81640625" style="105" customWidth="1"/>
    <col min="11" max="11" width="9.81640625" style="105" customWidth="1"/>
    <col min="12" max="14" width="8.7265625" style="105"/>
    <col min="15" max="15" width="12.26953125" style="105" customWidth="1"/>
    <col min="16" max="16" width="11.81640625" style="105" customWidth="1"/>
    <col min="17" max="17" width="12.7265625" style="105" customWidth="1"/>
    <col min="18" max="18" width="11.90625" style="105" customWidth="1"/>
    <col min="19" max="19" width="10.36328125" style="105" customWidth="1"/>
    <col min="20" max="20" width="10.90625" style="105" customWidth="1"/>
    <col min="21" max="16384" width="8.7265625" style="105"/>
  </cols>
  <sheetData>
    <row r="1" spans="1:10" ht="13" x14ac:dyDescent="0.25">
      <c r="A1" s="64" t="s">
        <v>0</v>
      </c>
      <c r="B1" s="64" t="s">
        <v>314</v>
      </c>
      <c r="C1" s="64"/>
      <c r="D1" s="48"/>
      <c r="E1" s="48"/>
      <c r="F1" s="48"/>
      <c r="G1" s="48"/>
      <c r="H1" s="48"/>
      <c r="I1" s="48"/>
      <c r="J1" s="48"/>
    </row>
    <row r="2" spans="1:10" ht="13" x14ac:dyDescent="0.25">
      <c r="A2" s="64" t="s">
        <v>229</v>
      </c>
      <c r="B2" s="82" t="s">
        <v>347</v>
      </c>
      <c r="C2" s="83"/>
      <c r="D2" s="84">
        <v>45488</v>
      </c>
      <c r="E2" s="48">
        <v>20240716</v>
      </c>
      <c r="F2" s="84">
        <v>45485</v>
      </c>
      <c r="G2" s="48"/>
      <c r="H2" s="48"/>
      <c r="I2" s="48"/>
      <c r="J2" s="48"/>
    </row>
    <row r="3" spans="1:10" ht="13" x14ac:dyDescent="0.25">
      <c r="A3" s="64" t="s">
        <v>3</v>
      </c>
      <c r="B3" s="82" t="s">
        <v>309</v>
      </c>
      <c r="C3" s="48"/>
      <c r="D3" s="48"/>
      <c r="E3" s="48"/>
      <c r="F3" s="48"/>
      <c r="G3" s="48"/>
      <c r="H3" s="48"/>
      <c r="I3" s="48"/>
      <c r="J3" s="48"/>
    </row>
    <row r="4" spans="1:10" ht="13" x14ac:dyDescent="0.25">
      <c r="A4" s="48" t="s">
        <v>4</v>
      </c>
      <c r="B4" s="82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  <c r="H4" s="48"/>
      <c r="I4" s="48"/>
      <c r="J4" s="48"/>
    </row>
    <row r="5" spans="1:10" ht="13" x14ac:dyDescent="0.25">
      <c r="A5" s="64" t="s">
        <v>2</v>
      </c>
      <c r="B5" s="64" t="s">
        <v>3</v>
      </c>
      <c r="C5" s="64" t="s">
        <v>11</v>
      </c>
      <c r="D5" s="64" t="s">
        <v>12</v>
      </c>
      <c r="E5" s="64" t="s">
        <v>13</v>
      </c>
      <c r="F5" s="85" t="s">
        <v>14</v>
      </c>
      <c r="G5" s="64" t="s">
        <v>15</v>
      </c>
      <c r="H5" s="86"/>
      <c r="I5" s="48"/>
      <c r="J5" s="48" t="s">
        <v>331</v>
      </c>
    </row>
    <row r="6" spans="1:10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45483</v>
      </c>
      <c r="B6" s="49" t="s">
        <v>317</v>
      </c>
      <c r="C6" s="49" t="s">
        <v>321</v>
      </c>
      <c r="D6" s="53">
        <v>942</v>
      </c>
      <c r="E6" s="49" t="s">
        <v>351</v>
      </c>
      <c r="F6" s="53">
        <v>10</v>
      </c>
      <c r="G6" s="50">
        <v>2681.58</v>
      </c>
    </row>
    <row r="7" spans="1:10" ht="13" x14ac:dyDescent="0.25">
      <c r="A7" s="51">
        <v>45483</v>
      </c>
      <c r="B7" s="49" t="s">
        <v>164</v>
      </c>
      <c r="C7" s="49" t="s">
        <v>165</v>
      </c>
      <c r="D7" s="53">
        <v>916</v>
      </c>
      <c r="E7" s="49" t="s">
        <v>16</v>
      </c>
      <c r="F7" s="53">
        <v>10</v>
      </c>
      <c r="G7" s="50">
        <v>316418.13</v>
      </c>
    </row>
    <row r="8" spans="1:10" ht="13" x14ac:dyDescent="0.25">
      <c r="A8" s="51">
        <v>45483</v>
      </c>
      <c r="B8" s="49" t="s">
        <v>30</v>
      </c>
      <c r="C8" s="49" t="s">
        <v>31</v>
      </c>
      <c r="D8" s="53">
        <v>75</v>
      </c>
      <c r="E8" s="49" t="s">
        <v>16</v>
      </c>
      <c r="F8" s="53">
        <v>10</v>
      </c>
      <c r="G8" s="50">
        <v>1686.8</v>
      </c>
    </row>
    <row r="9" spans="1:10" x14ac:dyDescent="0.25">
      <c r="A9" s="55">
        <v>45483</v>
      </c>
      <c r="B9" s="56" t="s">
        <v>158</v>
      </c>
      <c r="C9" s="56" t="s">
        <v>243</v>
      </c>
      <c r="D9" s="57">
        <v>198</v>
      </c>
      <c r="E9" s="56" t="s">
        <v>16</v>
      </c>
      <c r="F9" s="57">
        <v>10</v>
      </c>
      <c r="G9" s="58">
        <v>2680.92</v>
      </c>
    </row>
    <row r="10" spans="1:10" x14ac:dyDescent="0.25">
      <c r="A10" s="55">
        <v>45483</v>
      </c>
      <c r="B10" s="56" t="s">
        <v>189</v>
      </c>
      <c r="C10" s="56" t="s">
        <v>190</v>
      </c>
      <c r="D10" s="57">
        <v>444</v>
      </c>
      <c r="E10" s="56" t="s">
        <v>16</v>
      </c>
      <c r="F10" s="57">
        <v>10</v>
      </c>
      <c r="G10" s="58">
        <v>18533.580000000002</v>
      </c>
    </row>
    <row r="11" spans="1:10" x14ac:dyDescent="0.25">
      <c r="A11" s="55">
        <v>45483</v>
      </c>
      <c r="B11" s="56" t="s">
        <v>276</v>
      </c>
      <c r="C11" s="56" t="s">
        <v>277</v>
      </c>
      <c r="D11" s="57">
        <v>75</v>
      </c>
      <c r="E11" s="56" t="s">
        <v>16</v>
      </c>
      <c r="F11" s="57">
        <v>10</v>
      </c>
      <c r="G11" s="58">
        <v>812.95</v>
      </c>
    </row>
    <row r="12" spans="1:10" x14ac:dyDescent="0.25">
      <c r="A12" s="55">
        <v>45483</v>
      </c>
      <c r="B12" s="56" t="s">
        <v>172</v>
      </c>
      <c r="C12" s="56" t="s">
        <v>173</v>
      </c>
      <c r="D12" s="57">
        <v>2563</v>
      </c>
      <c r="E12" s="56" t="s">
        <v>16</v>
      </c>
      <c r="F12" s="57">
        <v>10</v>
      </c>
      <c r="G12" s="58">
        <v>38491.4</v>
      </c>
    </row>
    <row r="13" spans="1:10" x14ac:dyDescent="0.25">
      <c r="A13" s="55">
        <v>45483</v>
      </c>
      <c r="B13" s="56" t="s">
        <v>166</v>
      </c>
      <c r="C13" s="56" t="s">
        <v>167</v>
      </c>
      <c r="D13" s="57">
        <v>98</v>
      </c>
      <c r="E13" s="56" t="s">
        <v>16</v>
      </c>
      <c r="F13" s="57">
        <v>10</v>
      </c>
      <c r="G13" s="58">
        <v>954.95</v>
      </c>
    </row>
    <row r="14" spans="1:10" x14ac:dyDescent="0.25">
      <c r="A14" s="55">
        <v>45483</v>
      </c>
      <c r="B14" s="56" t="s">
        <v>132</v>
      </c>
      <c r="C14" s="56" t="s">
        <v>179</v>
      </c>
      <c r="D14" s="57">
        <v>913</v>
      </c>
      <c r="E14" s="56" t="s">
        <v>16</v>
      </c>
      <c r="F14" s="57">
        <v>10</v>
      </c>
      <c r="G14" s="58">
        <v>97463.48</v>
      </c>
    </row>
    <row r="15" spans="1:10" x14ac:dyDescent="0.25">
      <c r="A15" s="55">
        <v>45483</v>
      </c>
      <c r="B15" s="56" t="s">
        <v>18</v>
      </c>
      <c r="C15" s="56" t="s">
        <v>19</v>
      </c>
      <c r="D15" s="57">
        <v>140</v>
      </c>
      <c r="E15" s="56" t="s">
        <v>16</v>
      </c>
      <c r="F15" s="57">
        <v>10</v>
      </c>
      <c r="G15" s="58">
        <v>2752.71</v>
      </c>
    </row>
    <row r="16" spans="1:10" x14ac:dyDescent="0.25">
      <c r="A16" s="55">
        <v>45483</v>
      </c>
      <c r="B16" s="56" t="s">
        <v>181</v>
      </c>
      <c r="C16" s="56" t="s">
        <v>182</v>
      </c>
      <c r="D16" s="57">
        <v>125</v>
      </c>
      <c r="E16" s="56" t="s">
        <v>16</v>
      </c>
      <c r="F16" s="57">
        <v>10</v>
      </c>
      <c r="G16" s="58">
        <v>1430.19</v>
      </c>
    </row>
    <row r="17" spans="1:7" x14ac:dyDescent="0.25">
      <c r="A17" s="55">
        <v>45483</v>
      </c>
      <c r="B17" s="56" t="s">
        <v>183</v>
      </c>
      <c r="C17" s="56" t="s">
        <v>184</v>
      </c>
      <c r="D17" s="57">
        <v>187</v>
      </c>
      <c r="E17" s="56" t="s">
        <v>16</v>
      </c>
      <c r="F17" s="57">
        <v>10</v>
      </c>
      <c r="G17" s="58">
        <v>3540.34</v>
      </c>
    </row>
    <row r="18" spans="1:7" x14ac:dyDescent="0.25">
      <c r="A18" s="55">
        <v>45483</v>
      </c>
      <c r="B18" s="56" t="s">
        <v>253</v>
      </c>
      <c r="C18" s="56" t="s">
        <v>254</v>
      </c>
      <c r="D18" s="57">
        <v>370</v>
      </c>
      <c r="E18" s="56" t="s">
        <v>16</v>
      </c>
      <c r="F18" s="57">
        <v>10</v>
      </c>
      <c r="G18" s="58">
        <v>34771.56</v>
      </c>
    </row>
    <row r="19" spans="1:7" x14ac:dyDescent="0.25">
      <c r="A19" s="55">
        <v>45483</v>
      </c>
      <c r="B19" s="56" t="s">
        <v>255</v>
      </c>
      <c r="C19" s="56" t="s">
        <v>265</v>
      </c>
      <c r="D19" s="57">
        <v>42</v>
      </c>
      <c r="E19" s="56" t="s">
        <v>16</v>
      </c>
      <c r="F19" s="57">
        <v>10</v>
      </c>
      <c r="G19" s="58">
        <v>4801.6000000000004</v>
      </c>
    </row>
    <row r="20" spans="1:7" x14ac:dyDescent="0.25">
      <c r="A20" s="55">
        <v>45483</v>
      </c>
      <c r="B20" s="56" t="s">
        <v>302</v>
      </c>
      <c r="C20" s="56" t="s">
        <v>303</v>
      </c>
      <c r="D20" s="57">
        <v>56</v>
      </c>
      <c r="E20" s="56" t="s">
        <v>17</v>
      </c>
      <c r="F20" s="57">
        <v>0</v>
      </c>
      <c r="G20" s="58">
        <v>405.69</v>
      </c>
    </row>
    <row r="21" spans="1:7" x14ac:dyDescent="0.25">
      <c r="A21" s="55">
        <v>45483</v>
      </c>
      <c r="B21" s="56" t="s">
        <v>256</v>
      </c>
      <c r="C21" s="56" t="s">
        <v>257</v>
      </c>
      <c r="D21" s="57">
        <v>414</v>
      </c>
      <c r="E21" s="56" t="s">
        <v>16</v>
      </c>
      <c r="F21" s="57">
        <v>10</v>
      </c>
      <c r="G21" s="58">
        <v>32636.18</v>
      </c>
    </row>
    <row r="22" spans="1:7" x14ac:dyDescent="0.25">
      <c r="A22" s="55">
        <v>45483</v>
      </c>
      <c r="B22" s="56" t="s">
        <v>304</v>
      </c>
      <c r="C22" s="56" t="s">
        <v>305</v>
      </c>
      <c r="D22" s="57">
        <v>31</v>
      </c>
      <c r="E22" s="56" t="s">
        <v>17</v>
      </c>
      <c r="F22" s="57">
        <v>0</v>
      </c>
      <c r="G22" s="58">
        <v>352.99</v>
      </c>
    </row>
    <row r="23" spans="1:7" x14ac:dyDescent="0.25">
      <c r="A23" s="55">
        <v>45483</v>
      </c>
      <c r="B23" s="56" t="s">
        <v>258</v>
      </c>
      <c r="C23" s="56" t="s">
        <v>259</v>
      </c>
      <c r="D23" s="57">
        <v>100</v>
      </c>
      <c r="E23" s="56" t="s">
        <v>16</v>
      </c>
      <c r="F23" s="57">
        <v>10</v>
      </c>
      <c r="G23" s="58">
        <v>35328.129999999997</v>
      </c>
    </row>
    <row r="24" spans="1:7" x14ac:dyDescent="0.25">
      <c r="A24" s="55">
        <v>45483</v>
      </c>
      <c r="B24" s="56" t="s">
        <v>260</v>
      </c>
      <c r="C24" s="56" t="s">
        <v>261</v>
      </c>
      <c r="D24" s="57">
        <v>3101</v>
      </c>
      <c r="E24" s="56" t="s">
        <v>16</v>
      </c>
      <c r="F24" s="57">
        <v>10</v>
      </c>
      <c r="G24" s="58">
        <v>203147.5</v>
      </c>
    </row>
    <row r="25" spans="1:7" x14ac:dyDescent="0.25">
      <c r="A25" s="55">
        <v>45483</v>
      </c>
      <c r="B25" s="56" t="s">
        <v>262</v>
      </c>
      <c r="C25" s="56" t="s">
        <v>263</v>
      </c>
      <c r="D25" s="57">
        <v>288</v>
      </c>
      <c r="E25" s="56" t="s">
        <v>16</v>
      </c>
      <c r="F25" s="57">
        <v>10</v>
      </c>
      <c r="G25" s="58">
        <v>37707.67</v>
      </c>
    </row>
    <row r="26" spans="1:7" x14ac:dyDescent="0.25">
      <c r="A26" s="3">
        <v>45483</v>
      </c>
      <c r="B26" s="5" t="s">
        <v>20</v>
      </c>
      <c r="C26" s="5" t="s">
        <v>21</v>
      </c>
      <c r="D26" s="52">
        <v>11</v>
      </c>
      <c r="E26" s="5" t="s">
        <v>16</v>
      </c>
      <c r="F26" s="52">
        <v>10</v>
      </c>
      <c r="G26" s="20">
        <v>2158.75</v>
      </c>
    </row>
    <row r="27" spans="1:7" x14ac:dyDescent="0.25">
      <c r="A27" s="3">
        <v>45483</v>
      </c>
      <c r="B27" s="5" t="s">
        <v>174</v>
      </c>
      <c r="C27" s="5" t="s">
        <v>194</v>
      </c>
      <c r="D27" s="52">
        <v>108</v>
      </c>
      <c r="E27" s="5" t="s">
        <v>16</v>
      </c>
      <c r="F27" s="52">
        <v>10</v>
      </c>
      <c r="G27" s="20">
        <v>11340.46</v>
      </c>
    </row>
    <row r="28" spans="1:7" x14ac:dyDescent="0.25">
      <c r="A28" s="3">
        <v>45483</v>
      </c>
      <c r="B28" s="5" t="s">
        <v>231</v>
      </c>
      <c r="C28" s="5" t="s">
        <v>232</v>
      </c>
      <c r="D28" s="52">
        <v>65</v>
      </c>
      <c r="E28" s="5" t="s">
        <v>16</v>
      </c>
      <c r="F28" s="52">
        <v>10</v>
      </c>
      <c r="G28" s="20">
        <v>8363.6299999999992</v>
      </c>
    </row>
    <row r="29" spans="1:7" x14ac:dyDescent="0.25">
      <c r="A29" s="3">
        <v>45483</v>
      </c>
      <c r="B29" s="5" t="s">
        <v>29</v>
      </c>
      <c r="C29" s="5" t="s">
        <v>195</v>
      </c>
      <c r="D29" s="52">
        <v>46</v>
      </c>
      <c r="E29" s="5" t="s">
        <v>16</v>
      </c>
      <c r="F29" s="52">
        <v>10</v>
      </c>
      <c r="G29" s="20">
        <v>1223.1300000000001</v>
      </c>
    </row>
    <row r="30" spans="1:7" x14ac:dyDescent="0.25">
      <c r="A30" s="3">
        <v>45483</v>
      </c>
      <c r="B30" s="5" t="s">
        <v>180</v>
      </c>
      <c r="C30" s="5" t="s">
        <v>196</v>
      </c>
      <c r="D30" s="52">
        <v>34</v>
      </c>
      <c r="E30" s="5" t="s">
        <v>16</v>
      </c>
      <c r="F30" s="52">
        <v>10</v>
      </c>
      <c r="G30" s="20">
        <v>615.63</v>
      </c>
    </row>
    <row r="31" spans="1:7" x14ac:dyDescent="0.25">
      <c r="A31" s="3">
        <v>45483</v>
      </c>
      <c r="B31" s="5" t="s">
        <v>150</v>
      </c>
      <c r="C31" s="5" t="s">
        <v>151</v>
      </c>
      <c r="D31" s="52">
        <v>122</v>
      </c>
      <c r="E31" s="5" t="s">
        <v>16</v>
      </c>
      <c r="F31" s="52">
        <v>10</v>
      </c>
      <c r="G31" s="20">
        <v>117129.74</v>
      </c>
    </row>
    <row r="32" spans="1:7" x14ac:dyDescent="0.25">
      <c r="A32" s="3">
        <v>45483</v>
      </c>
      <c r="B32" s="5" t="s">
        <v>192</v>
      </c>
      <c r="C32" s="5" t="s">
        <v>284</v>
      </c>
      <c r="D32" s="52">
        <v>23</v>
      </c>
      <c r="E32" s="5" t="s">
        <v>16</v>
      </c>
      <c r="F32" s="52">
        <v>10</v>
      </c>
      <c r="G32" s="20">
        <v>3164.39</v>
      </c>
    </row>
    <row r="33" spans="1:10" x14ac:dyDescent="0.25">
      <c r="A33" s="3">
        <v>45483</v>
      </c>
      <c r="B33" s="5" t="s">
        <v>22</v>
      </c>
      <c r="C33" s="5" t="s">
        <v>23</v>
      </c>
      <c r="D33" s="52">
        <v>75</v>
      </c>
      <c r="E33" s="5" t="s">
        <v>16</v>
      </c>
      <c r="F33" s="52">
        <v>10</v>
      </c>
      <c r="G33" s="20">
        <v>5624.47</v>
      </c>
    </row>
    <row r="34" spans="1:10" x14ac:dyDescent="0.25">
      <c r="A34" s="3">
        <v>45483</v>
      </c>
      <c r="B34" s="5" t="s">
        <v>153</v>
      </c>
      <c r="C34" s="5" t="s">
        <v>154</v>
      </c>
      <c r="D34" s="52">
        <v>100</v>
      </c>
      <c r="E34" s="5" t="s">
        <v>16</v>
      </c>
      <c r="F34" s="52">
        <v>10</v>
      </c>
      <c r="G34" s="20">
        <v>10343.6</v>
      </c>
    </row>
    <row r="35" spans="1:10" x14ac:dyDescent="0.25">
      <c r="A35" s="3">
        <v>45483</v>
      </c>
      <c r="B35" s="5" t="s">
        <v>24</v>
      </c>
      <c r="C35" s="5" t="s">
        <v>25</v>
      </c>
      <c r="D35" s="52">
        <v>56</v>
      </c>
      <c r="E35" s="5" t="s">
        <v>16</v>
      </c>
      <c r="F35" s="52">
        <v>10</v>
      </c>
      <c r="G35" s="20">
        <v>5249.5</v>
      </c>
    </row>
    <row r="36" spans="1:10" x14ac:dyDescent="0.25">
      <c r="A36" s="3">
        <v>45483</v>
      </c>
      <c r="B36" s="5" t="s">
        <v>26</v>
      </c>
      <c r="C36" s="5" t="s">
        <v>27</v>
      </c>
      <c r="D36" s="52">
        <v>14</v>
      </c>
      <c r="E36" s="5" t="s">
        <v>17</v>
      </c>
      <c r="F36" s="52">
        <v>0</v>
      </c>
      <c r="G36" s="20">
        <v>805.39</v>
      </c>
    </row>
    <row r="37" spans="1:10" x14ac:dyDescent="0.25">
      <c r="A37" s="3">
        <v>45483</v>
      </c>
      <c r="B37" s="5" t="s">
        <v>193</v>
      </c>
      <c r="C37" s="5" t="s">
        <v>197</v>
      </c>
      <c r="D37" s="52">
        <v>153</v>
      </c>
      <c r="E37" s="5" t="s">
        <v>16</v>
      </c>
      <c r="F37" s="52">
        <v>10</v>
      </c>
      <c r="G37" s="20">
        <v>8769.0300000000007</v>
      </c>
    </row>
    <row r="38" spans="1:10" x14ac:dyDescent="0.25">
      <c r="A38" s="3">
        <v>45483</v>
      </c>
      <c r="B38" s="5" t="s">
        <v>28</v>
      </c>
      <c r="C38" s="5" t="s">
        <v>162</v>
      </c>
      <c r="D38" s="52">
        <v>5</v>
      </c>
      <c r="E38" s="5" t="s">
        <v>16</v>
      </c>
      <c r="F38" s="52">
        <v>10</v>
      </c>
      <c r="G38" s="20">
        <v>1182.6300000000001</v>
      </c>
    </row>
    <row r="39" spans="1:10" x14ac:dyDescent="0.25">
      <c r="A39" s="2"/>
      <c r="B39" s="2"/>
      <c r="C39" s="2"/>
      <c r="D39" s="2"/>
      <c r="E39" s="2"/>
      <c r="F39" s="2"/>
      <c r="G39" s="2"/>
    </row>
    <row r="40" spans="1:10" ht="13" x14ac:dyDescent="0.25">
      <c r="A40" s="2"/>
      <c r="B40" s="2"/>
      <c r="C40" s="2"/>
      <c r="H40" s="96" t="s">
        <v>332</v>
      </c>
      <c r="I40" s="96" t="e">
        <f>SUMPRODUCT(D6:D38,#REF!)</f>
        <v>#REF!</v>
      </c>
      <c r="J40" s="48"/>
    </row>
  </sheetData>
  <phoneticPr fontId="1" type="noConversion"/>
  <conditionalFormatting sqref="E1:E39">
    <cfRule type="cellIs" dxfId="1" priority="1" operator="equal">
      <formula>"必须"</formula>
    </cfRule>
    <cfRule type="cellIs" dxfId="0" priority="2" operator="equal">
      <formula>"退补"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topLeftCell="H1" zoomScaleNormal="100" workbookViewId="0">
      <selection activeCell="K13" sqref="K13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67" t="s">
        <v>0</v>
      </c>
      <c r="B1" s="68" t="s">
        <v>1</v>
      </c>
      <c r="C1" s="66"/>
      <c r="D1" s="1"/>
      <c r="E1" s="2"/>
      <c r="F1" s="2"/>
      <c r="G1" s="2"/>
      <c r="I1" s="22"/>
      <c r="J1" s="22"/>
    </row>
    <row r="2" spans="1:11" ht="13" x14ac:dyDescent="0.25">
      <c r="A2" s="65" t="s">
        <v>157</v>
      </c>
      <c r="B2" s="5" t="s">
        <v>315</v>
      </c>
      <c r="C2" s="3"/>
      <c r="E2" s="4"/>
      <c r="F2" s="5" t="s">
        <v>316</v>
      </c>
      <c r="G2" s="3">
        <v>45485</v>
      </c>
      <c r="H2" s="4"/>
      <c r="I2" s="4"/>
      <c r="J2" s="4"/>
      <c r="K2" s="81">
        <v>45488</v>
      </c>
    </row>
    <row r="3" spans="1:11" x14ac:dyDescent="0.25">
      <c r="A3" s="6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67" t="s">
        <v>2</v>
      </c>
      <c r="B5" s="67" t="s">
        <v>3</v>
      </c>
      <c r="C5" s="67" t="s">
        <v>11</v>
      </c>
      <c r="D5" s="67" t="s">
        <v>12</v>
      </c>
      <c r="E5" s="69" t="s">
        <v>13</v>
      </c>
      <c r="F5" s="69" t="s">
        <v>14</v>
      </c>
      <c r="G5" s="70" t="s">
        <v>15</v>
      </c>
      <c r="H5" s="71"/>
      <c r="I5" s="71"/>
      <c r="J5" s="7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52">
        <v>79</v>
      </c>
      <c r="E6" s="5" t="s">
        <v>320</v>
      </c>
      <c r="F6" s="52">
        <v>10</v>
      </c>
      <c r="G6" s="20">
        <v>129883.58</v>
      </c>
    </row>
    <row r="7" spans="1:11" x14ac:dyDescent="0.25">
      <c r="A7" s="3">
        <v>45489</v>
      </c>
      <c r="B7" s="5" t="s">
        <v>233</v>
      </c>
      <c r="C7" s="5" t="s">
        <v>234</v>
      </c>
      <c r="D7" s="52">
        <v>6</v>
      </c>
      <c r="E7" s="5" t="s">
        <v>16</v>
      </c>
      <c r="F7" s="52">
        <v>10</v>
      </c>
      <c r="G7" s="20">
        <v>6280.57</v>
      </c>
    </row>
    <row r="8" spans="1:11" x14ac:dyDescent="0.25">
      <c r="A8" s="3">
        <v>45489</v>
      </c>
      <c r="B8" s="5" t="s">
        <v>33</v>
      </c>
      <c r="C8" s="5" t="s">
        <v>133</v>
      </c>
      <c r="D8" s="52">
        <v>6</v>
      </c>
      <c r="E8" s="5" t="s">
        <v>16</v>
      </c>
      <c r="F8" s="52">
        <v>10</v>
      </c>
      <c r="G8" s="20">
        <v>23921.19</v>
      </c>
    </row>
    <row r="9" spans="1:11" x14ac:dyDescent="0.25">
      <c r="A9" s="3">
        <v>45489</v>
      </c>
      <c r="B9" s="5" t="s">
        <v>34</v>
      </c>
      <c r="C9" s="5" t="s">
        <v>35</v>
      </c>
      <c r="D9" s="52">
        <v>7</v>
      </c>
      <c r="E9" s="5" t="s">
        <v>16</v>
      </c>
      <c r="F9" s="52">
        <v>10</v>
      </c>
      <c r="G9" s="20">
        <v>11909.03</v>
      </c>
    </row>
    <row r="10" spans="1:11" x14ac:dyDescent="0.25">
      <c r="A10" s="3">
        <v>45489</v>
      </c>
      <c r="B10" s="5" t="s">
        <v>36</v>
      </c>
      <c r="C10" s="5" t="s">
        <v>37</v>
      </c>
      <c r="D10" s="52">
        <v>5</v>
      </c>
      <c r="E10" s="5" t="s">
        <v>16</v>
      </c>
      <c r="F10" s="52">
        <v>10</v>
      </c>
      <c r="G10" s="20">
        <v>8487.2000000000007</v>
      </c>
    </row>
    <row r="11" spans="1:11" x14ac:dyDescent="0.25">
      <c r="A11" s="3">
        <v>45489</v>
      </c>
      <c r="B11" s="5" t="s">
        <v>38</v>
      </c>
      <c r="C11" s="5" t="s">
        <v>39</v>
      </c>
      <c r="D11" s="52">
        <v>3</v>
      </c>
      <c r="E11" s="5" t="s">
        <v>16</v>
      </c>
      <c r="F11" s="52">
        <v>10</v>
      </c>
      <c r="G11" s="20">
        <v>5422.44</v>
      </c>
    </row>
    <row r="12" spans="1:11" x14ac:dyDescent="0.25">
      <c r="A12" s="3">
        <v>45489</v>
      </c>
      <c r="B12" s="5" t="s">
        <v>176</v>
      </c>
      <c r="C12" s="5" t="s">
        <v>122</v>
      </c>
      <c r="D12" s="52">
        <v>7</v>
      </c>
      <c r="E12" s="5" t="s">
        <v>16</v>
      </c>
      <c r="F12" s="52">
        <v>10</v>
      </c>
      <c r="G12" s="20">
        <v>4540.7700000000004</v>
      </c>
    </row>
    <row r="13" spans="1:11" x14ac:dyDescent="0.25">
      <c r="A13" s="3">
        <v>45489</v>
      </c>
      <c r="B13" s="5" t="s">
        <v>40</v>
      </c>
      <c r="C13" s="5" t="s">
        <v>213</v>
      </c>
      <c r="D13" s="52">
        <v>11</v>
      </c>
      <c r="E13" s="5" t="s">
        <v>16</v>
      </c>
      <c r="F13" s="52">
        <v>10</v>
      </c>
      <c r="G13" s="20">
        <v>19093.88</v>
      </c>
    </row>
    <row r="14" spans="1:11" x14ac:dyDescent="0.25">
      <c r="A14" s="3">
        <v>45489</v>
      </c>
      <c r="B14" s="5" t="s">
        <v>123</v>
      </c>
      <c r="C14" s="5" t="s">
        <v>124</v>
      </c>
      <c r="D14" s="52">
        <v>22</v>
      </c>
      <c r="E14" s="5" t="s">
        <v>16</v>
      </c>
      <c r="F14" s="52">
        <v>10</v>
      </c>
      <c r="G14" s="20">
        <v>28493.34</v>
      </c>
    </row>
    <row r="15" spans="1:11" x14ac:dyDescent="0.25">
      <c r="A15" s="3">
        <v>45489</v>
      </c>
      <c r="B15" s="5" t="s">
        <v>41</v>
      </c>
      <c r="C15" s="5" t="s">
        <v>42</v>
      </c>
      <c r="D15" s="52">
        <v>7</v>
      </c>
      <c r="E15" s="5" t="s">
        <v>16</v>
      </c>
      <c r="F15" s="52">
        <v>10</v>
      </c>
      <c r="G15" s="20">
        <v>16515.2</v>
      </c>
    </row>
    <row r="16" spans="1:11" x14ac:dyDescent="0.25">
      <c r="A16" s="3">
        <v>45489</v>
      </c>
      <c r="B16" s="5" t="s">
        <v>43</v>
      </c>
      <c r="C16" s="5" t="s">
        <v>44</v>
      </c>
      <c r="D16" s="52">
        <v>54</v>
      </c>
      <c r="E16" s="5" t="s">
        <v>16</v>
      </c>
      <c r="F16" s="52">
        <v>10</v>
      </c>
      <c r="G16" s="20">
        <v>74898.289999999994</v>
      </c>
    </row>
    <row r="17" spans="1:7" x14ac:dyDescent="0.25">
      <c r="A17" s="3">
        <v>45489</v>
      </c>
      <c r="B17" s="5" t="s">
        <v>125</v>
      </c>
      <c r="C17" s="5" t="s">
        <v>214</v>
      </c>
      <c r="D17" s="52">
        <v>1</v>
      </c>
      <c r="E17" s="5" t="s">
        <v>16</v>
      </c>
      <c r="F17" s="52">
        <v>10</v>
      </c>
      <c r="G17" s="20">
        <v>2348.83</v>
      </c>
    </row>
    <row r="18" spans="1:7" x14ac:dyDescent="0.25">
      <c r="A18" s="3">
        <v>45489</v>
      </c>
      <c r="B18" s="5" t="s">
        <v>286</v>
      </c>
      <c r="C18" s="5" t="s">
        <v>287</v>
      </c>
      <c r="D18" s="52">
        <v>2</v>
      </c>
      <c r="E18" s="5" t="s">
        <v>16</v>
      </c>
      <c r="F18" s="52">
        <v>10</v>
      </c>
      <c r="G18" s="20">
        <v>2584.17</v>
      </c>
    </row>
    <row r="19" spans="1:7" x14ac:dyDescent="0.25">
      <c r="A19" s="3">
        <v>45489</v>
      </c>
      <c r="B19" s="5" t="s">
        <v>45</v>
      </c>
      <c r="C19" s="5" t="s">
        <v>46</v>
      </c>
      <c r="D19" s="52">
        <v>1</v>
      </c>
      <c r="E19" s="5" t="s">
        <v>16</v>
      </c>
      <c r="F19" s="52">
        <v>10</v>
      </c>
      <c r="G19" s="20">
        <v>7739.53</v>
      </c>
    </row>
    <row r="20" spans="1:7" x14ac:dyDescent="0.25">
      <c r="A20" s="3">
        <v>45489</v>
      </c>
      <c r="B20" s="5" t="s">
        <v>47</v>
      </c>
      <c r="C20" s="5" t="s">
        <v>48</v>
      </c>
      <c r="D20" s="52">
        <v>62</v>
      </c>
      <c r="E20" s="5" t="s">
        <v>16</v>
      </c>
      <c r="F20" s="52">
        <v>10</v>
      </c>
      <c r="G20" s="20">
        <v>75195.63</v>
      </c>
    </row>
    <row r="21" spans="1:7" x14ac:dyDescent="0.25">
      <c r="A21" s="3">
        <v>45489</v>
      </c>
      <c r="B21" s="5" t="s">
        <v>250</v>
      </c>
      <c r="C21" s="5" t="s">
        <v>251</v>
      </c>
      <c r="D21" s="52">
        <v>8</v>
      </c>
      <c r="E21" s="5" t="s">
        <v>16</v>
      </c>
      <c r="F21" s="52">
        <v>10</v>
      </c>
      <c r="G21" s="20">
        <v>4520.8</v>
      </c>
    </row>
    <row r="22" spans="1:7" x14ac:dyDescent="0.25">
      <c r="A22" s="3">
        <v>45489</v>
      </c>
      <c r="B22" s="5" t="s">
        <v>49</v>
      </c>
      <c r="C22" s="5" t="s">
        <v>50</v>
      </c>
      <c r="D22" s="52">
        <v>2</v>
      </c>
      <c r="E22" s="5" t="s">
        <v>16</v>
      </c>
      <c r="F22" s="52">
        <v>10</v>
      </c>
      <c r="G22" s="20">
        <v>3281.35</v>
      </c>
    </row>
    <row r="23" spans="1:7" x14ac:dyDescent="0.25">
      <c r="A23" s="3">
        <v>45489</v>
      </c>
      <c r="B23" s="5" t="s">
        <v>51</v>
      </c>
      <c r="C23" s="5" t="s">
        <v>52</v>
      </c>
      <c r="D23" s="52">
        <v>0</v>
      </c>
      <c r="E23" s="5" t="s">
        <v>17</v>
      </c>
      <c r="F23" s="52">
        <v>0</v>
      </c>
      <c r="G23" s="20">
        <v>0</v>
      </c>
    </row>
    <row r="24" spans="1:7" x14ac:dyDescent="0.25">
      <c r="A24" s="3">
        <v>45489</v>
      </c>
      <c r="B24" s="5" t="s">
        <v>266</v>
      </c>
      <c r="C24" s="5" t="s">
        <v>267</v>
      </c>
      <c r="D24" s="52">
        <v>13</v>
      </c>
      <c r="E24" s="5" t="s">
        <v>16</v>
      </c>
      <c r="F24" s="52">
        <v>10</v>
      </c>
      <c r="G24" s="20">
        <v>3198.48</v>
      </c>
    </row>
    <row r="25" spans="1:7" x14ac:dyDescent="0.25">
      <c r="A25" s="3">
        <v>45489</v>
      </c>
      <c r="B25" s="5" t="s">
        <v>288</v>
      </c>
      <c r="C25" s="5" t="s">
        <v>289</v>
      </c>
      <c r="D25" s="52">
        <v>6</v>
      </c>
      <c r="E25" s="5" t="s">
        <v>16</v>
      </c>
      <c r="F25" s="52">
        <v>10</v>
      </c>
      <c r="G25" s="20">
        <v>3170.66</v>
      </c>
    </row>
    <row r="26" spans="1:7" x14ac:dyDescent="0.25">
      <c r="A26" s="3">
        <v>45489</v>
      </c>
      <c r="B26" s="5" t="s">
        <v>53</v>
      </c>
      <c r="C26" s="5" t="s">
        <v>215</v>
      </c>
      <c r="D26" s="52">
        <v>4</v>
      </c>
      <c r="E26" s="5" t="s">
        <v>16</v>
      </c>
      <c r="F26" s="52">
        <v>10</v>
      </c>
      <c r="G26" s="20">
        <v>9004.7999999999993</v>
      </c>
    </row>
    <row r="27" spans="1:7" x14ac:dyDescent="0.25">
      <c r="A27" s="3">
        <v>45489</v>
      </c>
      <c r="B27" s="5" t="s">
        <v>290</v>
      </c>
      <c r="C27" s="5" t="s">
        <v>291</v>
      </c>
      <c r="D27" s="52">
        <v>2</v>
      </c>
      <c r="E27" s="5" t="s">
        <v>16</v>
      </c>
      <c r="F27" s="52">
        <v>10</v>
      </c>
      <c r="G27" s="20">
        <v>3259.1</v>
      </c>
    </row>
    <row r="28" spans="1:7" x14ac:dyDescent="0.25">
      <c r="A28" s="3">
        <v>45489</v>
      </c>
      <c r="B28" s="5" t="s">
        <v>248</v>
      </c>
      <c r="C28" s="5" t="s">
        <v>249</v>
      </c>
      <c r="D28" s="52">
        <v>4</v>
      </c>
      <c r="E28" s="5" t="s">
        <v>16</v>
      </c>
      <c r="F28" s="52">
        <v>10</v>
      </c>
      <c r="G28" s="20">
        <v>6194.14</v>
      </c>
    </row>
    <row r="29" spans="1:7" x14ac:dyDescent="0.25">
      <c r="A29" s="3">
        <v>45489</v>
      </c>
      <c r="B29" s="5" t="s">
        <v>54</v>
      </c>
      <c r="C29" s="5" t="s">
        <v>216</v>
      </c>
      <c r="D29" s="52">
        <v>2</v>
      </c>
      <c r="E29" s="5" t="s">
        <v>16</v>
      </c>
      <c r="F29" s="52">
        <v>10</v>
      </c>
      <c r="G29" s="20">
        <v>4436.3599999999997</v>
      </c>
    </row>
    <row r="30" spans="1:7" x14ac:dyDescent="0.25">
      <c r="A30" s="3">
        <v>45489</v>
      </c>
      <c r="B30" s="5" t="s">
        <v>55</v>
      </c>
      <c r="C30" s="5" t="s">
        <v>56</v>
      </c>
      <c r="D30" s="52">
        <v>52</v>
      </c>
      <c r="E30" s="5" t="s">
        <v>16</v>
      </c>
      <c r="F30" s="52">
        <v>10</v>
      </c>
      <c r="G30" s="20">
        <v>14199.39</v>
      </c>
    </row>
    <row r="31" spans="1:7" x14ac:dyDescent="0.25">
      <c r="A31" s="3">
        <v>45489</v>
      </c>
      <c r="B31" s="5" t="s">
        <v>57</v>
      </c>
      <c r="C31" s="5" t="s">
        <v>198</v>
      </c>
      <c r="D31" s="52">
        <v>6</v>
      </c>
      <c r="E31" s="5" t="s">
        <v>16</v>
      </c>
      <c r="F31" s="52">
        <v>10</v>
      </c>
      <c r="G31" s="20">
        <v>36066.85</v>
      </c>
    </row>
    <row r="32" spans="1:7" x14ac:dyDescent="0.25">
      <c r="A32" s="3">
        <v>45489</v>
      </c>
      <c r="B32" s="5" t="s">
        <v>126</v>
      </c>
      <c r="C32" s="5" t="s">
        <v>217</v>
      </c>
      <c r="D32" s="52">
        <v>13</v>
      </c>
      <c r="E32" s="5" t="s">
        <v>16</v>
      </c>
      <c r="F32" s="52">
        <v>10</v>
      </c>
      <c r="G32" s="20">
        <v>5149.09</v>
      </c>
    </row>
    <row r="33" spans="1:7" x14ac:dyDescent="0.25">
      <c r="A33" s="3">
        <v>45489</v>
      </c>
      <c r="B33" s="5" t="s">
        <v>211</v>
      </c>
      <c r="C33" s="5" t="s">
        <v>212</v>
      </c>
      <c r="D33" s="52">
        <v>3</v>
      </c>
      <c r="E33" s="5" t="s">
        <v>16</v>
      </c>
      <c r="F33" s="52">
        <v>10</v>
      </c>
      <c r="G33" s="20">
        <v>7944.21</v>
      </c>
    </row>
    <row r="34" spans="1:7" x14ac:dyDescent="0.25">
      <c r="A34" s="3">
        <v>45489</v>
      </c>
      <c r="B34" s="5" t="s">
        <v>58</v>
      </c>
      <c r="C34" s="5" t="s">
        <v>199</v>
      </c>
      <c r="D34" s="52">
        <v>54</v>
      </c>
      <c r="E34" s="5" t="s">
        <v>16</v>
      </c>
      <c r="F34" s="52">
        <v>10</v>
      </c>
      <c r="G34" s="20">
        <v>18246.09</v>
      </c>
    </row>
    <row r="35" spans="1:7" x14ac:dyDescent="0.25">
      <c r="A35" s="3">
        <v>45489</v>
      </c>
      <c r="B35" s="5" t="s">
        <v>268</v>
      </c>
      <c r="C35" s="5" t="s">
        <v>269</v>
      </c>
      <c r="D35" s="52">
        <v>5</v>
      </c>
      <c r="E35" s="5" t="s">
        <v>16</v>
      </c>
      <c r="F35" s="52">
        <v>10</v>
      </c>
      <c r="G35" s="20">
        <v>2702.48</v>
      </c>
    </row>
    <row r="36" spans="1:7" x14ac:dyDescent="0.25">
      <c r="A36" s="3">
        <v>45489</v>
      </c>
      <c r="B36" s="5" t="s">
        <v>59</v>
      </c>
      <c r="C36" s="5" t="s">
        <v>60</v>
      </c>
      <c r="D36" s="52">
        <v>26</v>
      </c>
      <c r="E36" s="5" t="s">
        <v>16</v>
      </c>
      <c r="F36" s="52">
        <v>10</v>
      </c>
      <c r="G36" s="20">
        <v>6265.31</v>
      </c>
    </row>
    <row r="37" spans="1:7" x14ac:dyDescent="0.25">
      <c r="A37" s="3">
        <v>45489</v>
      </c>
      <c r="B37" s="5" t="s">
        <v>61</v>
      </c>
      <c r="C37" s="5" t="s">
        <v>62</v>
      </c>
      <c r="D37" s="52">
        <v>1</v>
      </c>
      <c r="E37" s="5" t="s">
        <v>16</v>
      </c>
      <c r="F37" s="52">
        <v>10</v>
      </c>
      <c r="G37" s="20">
        <v>5147.2299999999996</v>
      </c>
    </row>
    <row r="38" spans="1:7" x14ac:dyDescent="0.25">
      <c r="A38" s="3">
        <v>45489</v>
      </c>
      <c r="B38" s="5" t="s">
        <v>63</v>
      </c>
      <c r="C38" s="5" t="s">
        <v>218</v>
      </c>
      <c r="D38" s="52">
        <v>7</v>
      </c>
      <c r="E38" s="5" t="s">
        <v>16</v>
      </c>
      <c r="F38" s="52">
        <v>10</v>
      </c>
      <c r="G38" s="20">
        <v>3570.81</v>
      </c>
    </row>
    <row r="39" spans="1:7" x14ac:dyDescent="0.25">
      <c r="A39" s="3">
        <v>45489</v>
      </c>
      <c r="B39" s="5" t="s">
        <v>292</v>
      </c>
      <c r="C39" s="5" t="s">
        <v>293</v>
      </c>
      <c r="D39" s="52">
        <v>5</v>
      </c>
      <c r="E39" s="5" t="s">
        <v>16</v>
      </c>
      <c r="F39" s="52">
        <v>10</v>
      </c>
      <c r="G39" s="20">
        <v>3744.04</v>
      </c>
    </row>
    <row r="40" spans="1:7" x14ac:dyDescent="0.25">
      <c r="A40" s="3">
        <v>45489</v>
      </c>
      <c r="B40" s="5" t="s">
        <v>235</v>
      </c>
      <c r="C40" s="5" t="s">
        <v>236</v>
      </c>
      <c r="D40" s="52">
        <v>4</v>
      </c>
      <c r="E40" s="5" t="s">
        <v>16</v>
      </c>
      <c r="F40" s="52">
        <v>10</v>
      </c>
      <c r="G40" s="20">
        <v>3645.62</v>
      </c>
    </row>
    <row r="41" spans="1:7" x14ac:dyDescent="0.25">
      <c r="A41" s="3">
        <v>45489</v>
      </c>
      <c r="B41" s="5" t="s">
        <v>64</v>
      </c>
      <c r="C41" s="5" t="s">
        <v>65</v>
      </c>
      <c r="D41" s="52">
        <v>3</v>
      </c>
      <c r="E41" s="5" t="s">
        <v>16</v>
      </c>
      <c r="F41" s="52">
        <v>10</v>
      </c>
      <c r="G41" s="20">
        <v>2296.91</v>
      </c>
    </row>
    <row r="42" spans="1:7" x14ac:dyDescent="0.25">
      <c r="A42" s="3">
        <v>45489</v>
      </c>
      <c r="B42" s="5" t="s">
        <v>163</v>
      </c>
      <c r="C42" s="5" t="s">
        <v>219</v>
      </c>
      <c r="D42" s="52">
        <v>5</v>
      </c>
      <c r="E42" s="5" t="s">
        <v>16</v>
      </c>
      <c r="F42" s="52">
        <v>10</v>
      </c>
      <c r="G42" s="20">
        <v>4067.09</v>
      </c>
    </row>
    <row r="43" spans="1:7" x14ac:dyDescent="0.25">
      <c r="A43" s="3">
        <v>45489</v>
      </c>
      <c r="B43" s="5" t="s">
        <v>66</v>
      </c>
      <c r="C43" s="5" t="s">
        <v>220</v>
      </c>
      <c r="D43" s="52">
        <v>4</v>
      </c>
      <c r="E43" s="5" t="s">
        <v>16</v>
      </c>
      <c r="F43" s="52">
        <v>10</v>
      </c>
      <c r="G43" s="20">
        <v>4155.67</v>
      </c>
    </row>
    <row r="44" spans="1:7" x14ac:dyDescent="0.25">
      <c r="A44" s="3">
        <v>45489</v>
      </c>
      <c r="B44" s="5" t="s">
        <v>159</v>
      </c>
      <c r="C44" s="5" t="s">
        <v>127</v>
      </c>
      <c r="D44" s="52">
        <v>13</v>
      </c>
      <c r="E44" s="5" t="s">
        <v>16</v>
      </c>
      <c r="F44" s="52">
        <v>10</v>
      </c>
      <c r="G44" s="20">
        <v>3267.08</v>
      </c>
    </row>
    <row r="45" spans="1:7" x14ac:dyDescent="0.25">
      <c r="A45" s="3">
        <v>45489</v>
      </c>
      <c r="B45" s="5" t="s">
        <v>270</v>
      </c>
      <c r="C45" s="5" t="s">
        <v>271</v>
      </c>
      <c r="D45" s="52">
        <v>2</v>
      </c>
      <c r="E45" s="5" t="s">
        <v>16</v>
      </c>
      <c r="F45" s="52">
        <v>10</v>
      </c>
      <c r="G45" s="20">
        <v>2912.08</v>
      </c>
    </row>
    <row r="46" spans="1:7" x14ac:dyDescent="0.25">
      <c r="A46" s="3">
        <v>45489</v>
      </c>
      <c r="B46" s="5" t="s">
        <v>67</v>
      </c>
      <c r="C46" s="5" t="s">
        <v>68</v>
      </c>
      <c r="D46" s="52">
        <v>8</v>
      </c>
      <c r="E46" s="5" t="s">
        <v>16</v>
      </c>
      <c r="F46" s="52">
        <v>10</v>
      </c>
      <c r="G46" s="20">
        <v>3733.48</v>
      </c>
    </row>
    <row r="47" spans="1:7" x14ac:dyDescent="0.25">
      <c r="A47" s="3">
        <v>45489</v>
      </c>
      <c r="B47" s="5" t="s">
        <v>237</v>
      </c>
      <c r="C47" s="5" t="s">
        <v>238</v>
      </c>
      <c r="D47" s="52">
        <v>10</v>
      </c>
      <c r="E47" s="5" t="s">
        <v>16</v>
      </c>
      <c r="F47" s="52">
        <v>10</v>
      </c>
      <c r="G47" s="20">
        <v>4246.8100000000004</v>
      </c>
    </row>
    <row r="48" spans="1:7" x14ac:dyDescent="0.25">
      <c r="A48" s="3">
        <v>45489</v>
      </c>
      <c r="B48" s="5" t="s">
        <v>275</v>
      </c>
      <c r="C48" s="5" t="s">
        <v>285</v>
      </c>
      <c r="D48" s="52">
        <v>6</v>
      </c>
      <c r="E48" s="5" t="s">
        <v>16</v>
      </c>
      <c r="F48" s="52">
        <v>10</v>
      </c>
      <c r="G48" s="20">
        <v>3435.1</v>
      </c>
    </row>
    <row r="49" spans="1:7" x14ac:dyDescent="0.25">
      <c r="A49" s="3">
        <v>45489</v>
      </c>
      <c r="B49" s="5" t="s">
        <v>272</v>
      </c>
      <c r="C49" s="5" t="s">
        <v>282</v>
      </c>
      <c r="D49" s="52">
        <v>7</v>
      </c>
      <c r="E49" s="5" t="s">
        <v>16</v>
      </c>
      <c r="F49" s="52">
        <v>10</v>
      </c>
      <c r="G49" s="20">
        <v>2719.67</v>
      </c>
    </row>
    <row r="50" spans="1:7" x14ac:dyDescent="0.25">
      <c r="A50" s="3">
        <v>45489</v>
      </c>
      <c r="B50" s="5" t="s">
        <v>69</v>
      </c>
      <c r="C50" s="5" t="s">
        <v>221</v>
      </c>
      <c r="D50" s="52">
        <v>17</v>
      </c>
      <c r="E50" s="5" t="s">
        <v>16</v>
      </c>
      <c r="F50" s="52">
        <v>10</v>
      </c>
      <c r="G50" s="20">
        <v>8481.64</v>
      </c>
    </row>
    <row r="51" spans="1:7" x14ac:dyDescent="0.25">
      <c r="A51" s="3">
        <v>45489</v>
      </c>
      <c r="B51" s="5" t="s">
        <v>70</v>
      </c>
      <c r="C51" s="5" t="s">
        <v>135</v>
      </c>
      <c r="D51" s="52">
        <v>29</v>
      </c>
      <c r="E51" s="5" t="s">
        <v>16</v>
      </c>
      <c r="F51" s="52">
        <v>10</v>
      </c>
      <c r="G51" s="20">
        <v>38628.629999999997</v>
      </c>
    </row>
    <row r="52" spans="1:7" x14ac:dyDescent="0.25">
      <c r="A52" s="3">
        <v>45489</v>
      </c>
      <c r="B52" s="5" t="s">
        <v>71</v>
      </c>
      <c r="C52" s="5" t="s">
        <v>136</v>
      </c>
      <c r="D52" s="52">
        <v>30</v>
      </c>
      <c r="E52" s="5" t="s">
        <v>16</v>
      </c>
      <c r="F52" s="52">
        <v>10</v>
      </c>
      <c r="G52" s="20">
        <v>39594.800000000003</v>
      </c>
    </row>
    <row r="53" spans="1:7" x14ac:dyDescent="0.25">
      <c r="A53" s="3">
        <v>45489</v>
      </c>
      <c r="B53" s="5" t="s">
        <v>244</v>
      </c>
      <c r="C53" s="5" t="s">
        <v>245</v>
      </c>
      <c r="D53" s="52">
        <v>9</v>
      </c>
      <c r="E53" s="5" t="s">
        <v>16</v>
      </c>
      <c r="F53" s="52">
        <v>10</v>
      </c>
      <c r="G53" s="20">
        <v>13806.51</v>
      </c>
    </row>
    <row r="54" spans="1:7" x14ac:dyDescent="0.25">
      <c r="A54" s="3">
        <v>45489</v>
      </c>
      <c r="B54" s="5" t="s">
        <v>72</v>
      </c>
      <c r="C54" s="5" t="s">
        <v>73</v>
      </c>
      <c r="D54" s="52">
        <v>1</v>
      </c>
      <c r="E54" s="5" t="s">
        <v>16</v>
      </c>
      <c r="F54" s="52">
        <v>10</v>
      </c>
      <c r="G54" s="20">
        <v>3513.98</v>
      </c>
    </row>
    <row r="55" spans="1:7" x14ac:dyDescent="0.25">
      <c r="A55" s="3">
        <v>45489</v>
      </c>
      <c r="B55" s="5" t="s">
        <v>74</v>
      </c>
      <c r="C55" s="5" t="s">
        <v>75</v>
      </c>
      <c r="D55" s="52">
        <v>2</v>
      </c>
      <c r="E55" s="5" t="s">
        <v>16</v>
      </c>
      <c r="F55" s="52">
        <v>10</v>
      </c>
      <c r="G55" s="20">
        <v>1655.79</v>
      </c>
    </row>
    <row r="56" spans="1:7" x14ac:dyDescent="0.25">
      <c r="A56" s="3">
        <v>45489</v>
      </c>
      <c r="B56" s="5" t="s">
        <v>76</v>
      </c>
      <c r="C56" s="5" t="s">
        <v>77</v>
      </c>
      <c r="D56" s="52">
        <v>57</v>
      </c>
      <c r="E56" s="5" t="s">
        <v>16</v>
      </c>
      <c r="F56" s="52">
        <v>10</v>
      </c>
      <c r="G56" s="20">
        <v>14020.03</v>
      </c>
    </row>
    <row r="57" spans="1:7" x14ac:dyDescent="0.25">
      <c r="A57" s="3">
        <v>45489</v>
      </c>
      <c r="B57" s="5" t="s">
        <v>78</v>
      </c>
      <c r="C57" s="5" t="s">
        <v>200</v>
      </c>
      <c r="D57" s="52">
        <v>4</v>
      </c>
      <c r="E57" s="5" t="s">
        <v>16</v>
      </c>
      <c r="F57" s="52">
        <v>10</v>
      </c>
      <c r="G57" s="20">
        <v>18312.27</v>
      </c>
    </row>
    <row r="58" spans="1:7" x14ac:dyDescent="0.25">
      <c r="A58" s="3">
        <v>45489</v>
      </c>
      <c r="B58" s="5" t="s">
        <v>79</v>
      </c>
      <c r="C58" s="5" t="s">
        <v>201</v>
      </c>
      <c r="D58" s="52">
        <v>5</v>
      </c>
      <c r="E58" s="5" t="s">
        <v>16</v>
      </c>
      <c r="F58" s="52">
        <v>10</v>
      </c>
      <c r="G58" s="20">
        <v>15837.64</v>
      </c>
    </row>
    <row r="59" spans="1:7" x14ac:dyDescent="0.25">
      <c r="A59" s="3">
        <v>45489</v>
      </c>
      <c r="B59" s="5" t="s">
        <v>177</v>
      </c>
      <c r="C59" s="5" t="s">
        <v>178</v>
      </c>
      <c r="D59" s="52">
        <v>18</v>
      </c>
      <c r="E59" s="5" t="s">
        <v>16</v>
      </c>
      <c r="F59" s="52">
        <v>10</v>
      </c>
      <c r="G59" s="20">
        <v>4187.33</v>
      </c>
    </row>
    <row r="60" spans="1:7" x14ac:dyDescent="0.25">
      <c r="A60" s="3">
        <v>45489</v>
      </c>
      <c r="B60" s="5" t="s">
        <v>80</v>
      </c>
      <c r="C60" s="5" t="s">
        <v>81</v>
      </c>
      <c r="D60" s="52">
        <v>16</v>
      </c>
      <c r="E60" s="5" t="s">
        <v>16</v>
      </c>
      <c r="F60" s="52">
        <v>10</v>
      </c>
      <c r="G60" s="20">
        <v>3659.32</v>
      </c>
    </row>
    <row r="61" spans="1:7" x14ac:dyDescent="0.25">
      <c r="A61" s="3">
        <v>45489</v>
      </c>
      <c r="B61" s="5" t="s">
        <v>82</v>
      </c>
      <c r="C61" s="5" t="s">
        <v>202</v>
      </c>
      <c r="D61" s="52">
        <v>2</v>
      </c>
      <c r="E61" s="5" t="s">
        <v>16</v>
      </c>
      <c r="F61" s="52">
        <v>10</v>
      </c>
      <c r="G61" s="20">
        <v>12233.66</v>
      </c>
    </row>
    <row r="62" spans="1:7" x14ac:dyDescent="0.25">
      <c r="A62" s="3">
        <v>45489</v>
      </c>
      <c r="B62" s="5" t="s">
        <v>294</v>
      </c>
      <c r="C62" s="5" t="s">
        <v>295</v>
      </c>
      <c r="D62" s="52">
        <v>6</v>
      </c>
      <c r="E62" s="5" t="s">
        <v>16</v>
      </c>
      <c r="F62" s="52">
        <v>10</v>
      </c>
      <c r="G62" s="20">
        <v>18857.11</v>
      </c>
    </row>
    <row r="63" spans="1:7" x14ac:dyDescent="0.25">
      <c r="A63" s="3">
        <v>45489</v>
      </c>
      <c r="B63" s="5" t="s">
        <v>83</v>
      </c>
      <c r="C63" s="5" t="s">
        <v>84</v>
      </c>
      <c r="D63" s="52">
        <v>2</v>
      </c>
      <c r="E63" s="5" t="s">
        <v>16</v>
      </c>
      <c r="F63" s="52">
        <v>10</v>
      </c>
      <c r="G63" s="20">
        <v>15258.84</v>
      </c>
    </row>
    <row r="64" spans="1:7" x14ac:dyDescent="0.25">
      <c r="A64" s="3">
        <v>45489</v>
      </c>
      <c r="B64" s="5" t="s">
        <v>152</v>
      </c>
      <c r="C64" s="5" t="s">
        <v>222</v>
      </c>
      <c r="D64" s="52">
        <v>2</v>
      </c>
      <c r="E64" s="5" t="s">
        <v>16</v>
      </c>
      <c r="F64" s="52">
        <v>10</v>
      </c>
      <c r="G64" s="20">
        <v>4151.3900000000003</v>
      </c>
    </row>
    <row r="65" spans="1:7" x14ac:dyDescent="0.25">
      <c r="A65" s="3">
        <v>45489</v>
      </c>
      <c r="B65" s="5" t="s">
        <v>85</v>
      </c>
      <c r="C65" s="5" t="s">
        <v>86</v>
      </c>
      <c r="D65" s="52">
        <v>4</v>
      </c>
      <c r="E65" s="5" t="s">
        <v>16</v>
      </c>
      <c r="F65" s="52">
        <v>10</v>
      </c>
      <c r="G65" s="20">
        <v>6925.83</v>
      </c>
    </row>
    <row r="66" spans="1:7" x14ac:dyDescent="0.25">
      <c r="A66" s="3">
        <v>45489</v>
      </c>
      <c r="B66" s="5" t="s">
        <v>87</v>
      </c>
      <c r="C66" s="5" t="s">
        <v>203</v>
      </c>
      <c r="D66" s="52">
        <v>7</v>
      </c>
      <c r="E66" s="5" t="s">
        <v>16</v>
      </c>
      <c r="F66" s="52">
        <v>10</v>
      </c>
      <c r="G66" s="20">
        <v>4623.1400000000003</v>
      </c>
    </row>
    <row r="67" spans="1:7" x14ac:dyDescent="0.25">
      <c r="A67" s="3">
        <v>45489</v>
      </c>
      <c r="B67" s="5" t="s">
        <v>296</v>
      </c>
      <c r="C67" s="5" t="s">
        <v>297</v>
      </c>
      <c r="D67" s="52">
        <v>1</v>
      </c>
      <c r="E67" s="5" t="s">
        <v>16</v>
      </c>
      <c r="F67" s="52">
        <v>10</v>
      </c>
      <c r="G67" s="20">
        <v>1805.55</v>
      </c>
    </row>
    <row r="68" spans="1:7" x14ac:dyDescent="0.25">
      <c r="A68" s="3">
        <v>45489</v>
      </c>
      <c r="B68" s="5" t="s">
        <v>88</v>
      </c>
      <c r="C68" s="5" t="s">
        <v>89</v>
      </c>
      <c r="D68" s="52">
        <v>18</v>
      </c>
      <c r="E68" s="5" t="s">
        <v>16</v>
      </c>
      <c r="F68" s="52">
        <v>10</v>
      </c>
      <c r="G68" s="20">
        <v>8390.07</v>
      </c>
    </row>
    <row r="69" spans="1:7" x14ac:dyDescent="0.25">
      <c r="A69" s="3">
        <v>45489</v>
      </c>
      <c r="B69" s="5" t="s">
        <v>90</v>
      </c>
      <c r="C69" s="5" t="s">
        <v>91</v>
      </c>
      <c r="D69" s="52">
        <v>1</v>
      </c>
      <c r="E69" s="5" t="s">
        <v>16</v>
      </c>
      <c r="F69" s="52">
        <v>10</v>
      </c>
      <c r="G69" s="20">
        <v>12560.14</v>
      </c>
    </row>
    <row r="70" spans="1:7" x14ac:dyDescent="0.25">
      <c r="A70" s="3">
        <v>45489</v>
      </c>
      <c r="B70" s="5" t="s">
        <v>252</v>
      </c>
      <c r="C70" s="5" t="s">
        <v>230</v>
      </c>
      <c r="D70" s="52">
        <v>18</v>
      </c>
      <c r="E70" s="5" t="s">
        <v>16</v>
      </c>
      <c r="F70" s="52">
        <v>10</v>
      </c>
      <c r="G70" s="20">
        <v>64038.45</v>
      </c>
    </row>
    <row r="71" spans="1:7" x14ac:dyDescent="0.25">
      <c r="A71" s="3">
        <v>45489</v>
      </c>
      <c r="B71" s="5" t="s">
        <v>92</v>
      </c>
      <c r="C71" s="5" t="s">
        <v>223</v>
      </c>
      <c r="D71" s="52">
        <v>14</v>
      </c>
      <c r="E71" s="5" t="s">
        <v>16</v>
      </c>
      <c r="F71" s="52">
        <v>10</v>
      </c>
      <c r="G71" s="20">
        <v>5074.92</v>
      </c>
    </row>
    <row r="72" spans="1:7" x14ac:dyDescent="0.25">
      <c r="A72" s="3">
        <v>45489</v>
      </c>
      <c r="B72" s="5" t="s">
        <v>170</v>
      </c>
      <c r="C72" s="5" t="s">
        <v>171</v>
      </c>
      <c r="D72" s="52">
        <v>5</v>
      </c>
      <c r="E72" s="5" t="s">
        <v>16</v>
      </c>
      <c r="F72" s="52">
        <v>10</v>
      </c>
      <c r="G72" s="20">
        <v>4330.96</v>
      </c>
    </row>
    <row r="73" spans="1:7" x14ac:dyDescent="0.25">
      <c r="A73" s="3">
        <v>45489</v>
      </c>
      <c r="B73" s="5" t="s">
        <v>185</v>
      </c>
      <c r="C73" s="5" t="s">
        <v>186</v>
      </c>
      <c r="D73" s="52">
        <v>12</v>
      </c>
      <c r="E73" s="5" t="s">
        <v>16</v>
      </c>
      <c r="F73" s="52">
        <v>10</v>
      </c>
      <c r="G73" s="20">
        <v>6297.69</v>
      </c>
    </row>
    <row r="74" spans="1:7" x14ac:dyDescent="0.25">
      <c r="A74" s="3">
        <v>45489</v>
      </c>
      <c r="B74" s="5" t="s">
        <v>93</v>
      </c>
      <c r="C74" s="5" t="s">
        <v>204</v>
      </c>
      <c r="D74" s="52">
        <v>38</v>
      </c>
      <c r="E74" s="5" t="s">
        <v>16</v>
      </c>
      <c r="F74" s="52">
        <v>10</v>
      </c>
      <c r="G74" s="20">
        <v>122910.69</v>
      </c>
    </row>
    <row r="75" spans="1:7" x14ac:dyDescent="0.25">
      <c r="A75" s="3">
        <v>45489</v>
      </c>
      <c r="B75" s="5" t="s">
        <v>94</v>
      </c>
      <c r="C75" s="5" t="s">
        <v>224</v>
      </c>
      <c r="D75" s="52">
        <v>15</v>
      </c>
      <c r="E75" s="5" t="s">
        <v>16</v>
      </c>
      <c r="F75" s="52">
        <v>10</v>
      </c>
      <c r="G75" s="20">
        <v>14286.18</v>
      </c>
    </row>
    <row r="76" spans="1:7" x14ac:dyDescent="0.25">
      <c r="A76" s="3">
        <v>45489</v>
      </c>
      <c r="B76" s="5" t="s">
        <v>95</v>
      </c>
      <c r="C76" s="5" t="s">
        <v>205</v>
      </c>
      <c r="D76" s="52">
        <v>6</v>
      </c>
      <c r="E76" s="5" t="s">
        <v>16</v>
      </c>
      <c r="F76" s="52">
        <v>10</v>
      </c>
      <c r="G76" s="20">
        <v>27710.16</v>
      </c>
    </row>
    <row r="77" spans="1:7" x14ac:dyDescent="0.25">
      <c r="A77" s="3">
        <v>45489</v>
      </c>
      <c r="B77" s="5" t="s">
        <v>96</v>
      </c>
      <c r="C77" s="5" t="s">
        <v>97</v>
      </c>
      <c r="D77" s="52">
        <v>127</v>
      </c>
      <c r="E77" s="5" t="s">
        <v>16</v>
      </c>
      <c r="F77" s="52">
        <v>10</v>
      </c>
      <c r="G77" s="20">
        <v>117052.73</v>
      </c>
    </row>
    <row r="78" spans="1:7" x14ac:dyDescent="0.25">
      <c r="A78" s="3">
        <v>45489</v>
      </c>
      <c r="B78" s="5" t="s">
        <v>149</v>
      </c>
      <c r="C78" s="5" t="s">
        <v>225</v>
      </c>
      <c r="D78" s="52">
        <v>3</v>
      </c>
      <c r="E78" s="5" t="s">
        <v>16</v>
      </c>
      <c r="F78" s="52">
        <v>10</v>
      </c>
      <c r="G78" s="20">
        <v>5994.52</v>
      </c>
    </row>
    <row r="79" spans="1:7" x14ac:dyDescent="0.25">
      <c r="A79" s="3">
        <v>45489</v>
      </c>
      <c r="B79" s="5" t="s">
        <v>246</v>
      </c>
      <c r="C79" s="5" t="s">
        <v>247</v>
      </c>
      <c r="D79" s="52">
        <v>3</v>
      </c>
      <c r="E79" s="5" t="s">
        <v>16</v>
      </c>
      <c r="F79" s="52">
        <v>10</v>
      </c>
      <c r="G79" s="20">
        <v>4069.66</v>
      </c>
    </row>
    <row r="80" spans="1:7" x14ac:dyDescent="0.25">
      <c r="A80" s="3">
        <v>45489</v>
      </c>
      <c r="B80" s="5" t="s">
        <v>278</v>
      </c>
      <c r="C80" s="5" t="s">
        <v>279</v>
      </c>
      <c r="D80" s="52">
        <v>6</v>
      </c>
      <c r="E80" s="5" t="s">
        <v>16</v>
      </c>
      <c r="F80" s="52">
        <v>10</v>
      </c>
      <c r="G80" s="20">
        <v>3289.19</v>
      </c>
    </row>
    <row r="81" spans="1:7" x14ac:dyDescent="0.25">
      <c r="A81" s="3">
        <v>45489</v>
      </c>
      <c r="B81" s="5" t="s">
        <v>98</v>
      </c>
      <c r="C81" s="5" t="s">
        <v>99</v>
      </c>
      <c r="D81" s="52">
        <v>1</v>
      </c>
      <c r="E81" s="5" t="s">
        <v>16</v>
      </c>
      <c r="F81" s="52">
        <v>10</v>
      </c>
      <c r="G81" s="20">
        <v>7417.54</v>
      </c>
    </row>
    <row r="82" spans="1:7" x14ac:dyDescent="0.25">
      <c r="A82" s="3">
        <v>45489</v>
      </c>
      <c r="B82" s="5" t="s">
        <v>239</v>
      </c>
      <c r="C82" s="5" t="s">
        <v>240</v>
      </c>
      <c r="D82" s="52">
        <v>4</v>
      </c>
      <c r="E82" s="5" t="s">
        <v>16</v>
      </c>
      <c r="F82" s="52">
        <v>10</v>
      </c>
      <c r="G82" s="20">
        <v>9599</v>
      </c>
    </row>
    <row r="83" spans="1:7" x14ac:dyDescent="0.25">
      <c r="A83" s="3">
        <v>45489</v>
      </c>
      <c r="B83" s="5" t="s">
        <v>100</v>
      </c>
      <c r="C83" s="5" t="s">
        <v>206</v>
      </c>
      <c r="D83" s="52">
        <v>5</v>
      </c>
      <c r="E83" s="5" t="s">
        <v>16</v>
      </c>
      <c r="F83" s="52">
        <v>10</v>
      </c>
      <c r="G83" s="20">
        <v>4218.28</v>
      </c>
    </row>
    <row r="84" spans="1:7" x14ac:dyDescent="0.25">
      <c r="A84" s="3">
        <v>45489</v>
      </c>
      <c r="B84" s="5" t="s">
        <v>101</v>
      </c>
      <c r="C84" s="5" t="s">
        <v>207</v>
      </c>
      <c r="D84" s="52">
        <v>7</v>
      </c>
      <c r="E84" s="5" t="s">
        <v>16</v>
      </c>
      <c r="F84" s="52">
        <v>10</v>
      </c>
      <c r="G84" s="20">
        <v>5147.3</v>
      </c>
    </row>
    <row r="85" spans="1:7" x14ac:dyDescent="0.25">
      <c r="A85" s="3">
        <v>45489</v>
      </c>
      <c r="B85" s="5" t="s">
        <v>150</v>
      </c>
      <c r="C85" s="5" t="s">
        <v>151</v>
      </c>
      <c r="D85" s="52">
        <v>9</v>
      </c>
      <c r="E85" s="5" t="s">
        <v>16</v>
      </c>
      <c r="F85" s="52">
        <v>10</v>
      </c>
      <c r="G85" s="20">
        <v>9141.01</v>
      </c>
    </row>
    <row r="86" spans="1:7" x14ac:dyDescent="0.25">
      <c r="A86" s="3">
        <v>45489</v>
      </c>
      <c r="B86" s="5" t="s">
        <v>128</v>
      </c>
      <c r="C86" s="5" t="s">
        <v>208</v>
      </c>
      <c r="D86" s="52">
        <v>18</v>
      </c>
      <c r="E86" s="5" t="s">
        <v>16</v>
      </c>
      <c r="F86" s="52">
        <v>10</v>
      </c>
      <c r="G86" s="20">
        <v>21357.7</v>
      </c>
    </row>
    <row r="87" spans="1:7" x14ac:dyDescent="0.25">
      <c r="A87" s="3">
        <v>45489</v>
      </c>
      <c r="B87" s="5" t="s">
        <v>102</v>
      </c>
      <c r="C87" s="5" t="s">
        <v>264</v>
      </c>
      <c r="D87" s="52">
        <v>14</v>
      </c>
      <c r="E87" s="5" t="s">
        <v>16</v>
      </c>
      <c r="F87" s="52">
        <v>10</v>
      </c>
      <c r="G87" s="20">
        <v>6017.42</v>
      </c>
    </row>
    <row r="88" spans="1:7" x14ac:dyDescent="0.25">
      <c r="A88" s="3">
        <v>45489</v>
      </c>
      <c r="B88" s="5" t="s">
        <v>103</v>
      </c>
      <c r="C88" s="5" t="s">
        <v>209</v>
      </c>
      <c r="D88" s="52">
        <v>15</v>
      </c>
      <c r="E88" s="5" t="s">
        <v>16</v>
      </c>
      <c r="F88" s="52">
        <v>10</v>
      </c>
      <c r="G88" s="20">
        <v>21654.44</v>
      </c>
    </row>
    <row r="89" spans="1:7" x14ac:dyDescent="0.25">
      <c r="A89" s="3">
        <v>45489</v>
      </c>
      <c r="B89" s="5" t="s">
        <v>104</v>
      </c>
      <c r="C89" s="5" t="s">
        <v>105</v>
      </c>
      <c r="D89" s="52">
        <v>1</v>
      </c>
      <c r="E89" s="5" t="s">
        <v>16</v>
      </c>
      <c r="F89" s="52">
        <v>10</v>
      </c>
      <c r="G89" s="20">
        <v>7845.01</v>
      </c>
    </row>
    <row r="90" spans="1:7" x14ac:dyDescent="0.25">
      <c r="A90" s="3">
        <v>45489</v>
      </c>
      <c r="B90" s="5" t="s">
        <v>298</v>
      </c>
      <c r="C90" s="5" t="s">
        <v>299</v>
      </c>
      <c r="D90" s="52">
        <v>1</v>
      </c>
      <c r="E90" s="5" t="s">
        <v>16</v>
      </c>
      <c r="F90" s="52">
        <v>10</v>
      </c>
      <c r="G90" s="20">
        <v>3982.09</v>
      </c>
    </row>
    <row r="91" spans="1:7" x14ac:dyDescent="0.25">
      <c r="A91" s="3">
        <v>45489</v>
      </c>
      <c r="B91" s="5" t="s">
        <v>106</v>
      </c>
      <c r="C91" s="5" t="s">
        <v>210</v>
      </c>
      <c r="D91" s="52">
        <v>4</v>
      </c>
      <c r="E91" s="5" t="s">
        <v>16</v>
      </c>
      <c r="F91" s="52">
        <v>10</v>
      </c>
      <c r="G91" s="20">
        <v>4328.25</v>
      </c>
    </row>
    <row r="92" spans="1:7" x14ac:dyDescent="0.25">
      <c r="A92" s="3">
        <v>45489</v>
      </c>
      <c r="B92" s="5" t="s">
        <v>107</v>
      </c>
      <c r="C92" s="5" t="s">
        <v>108</v>
      </c>
      <c r="D92" s="52">
        <v>15</v>
      </c>
      <c r="E92" s="5" t="s">
        <v>16</v>
      </c>
      <c r="F92" s="52">
        <v>10</v>
      </c>
      <c r="G92" s="20">
        <v>8004.75</v>
      </c>
    </row>
    <row r="93" spans="1:7" x14ac:dyDescent="0.25">
      <c r="A93" s="3">
        <v>45489</v>
      </c>
      <c r="B93" s="5" t="s">
        <v>109</v>
      </c>
      <c r="C93" s="5" t="s">
        <v>226</v>
      </c>
      <c r="D93" s="52">
        <v>2</v>
      </c>
      <c r="E93" s="5" t="s">
        <v>16</v>
      </c>
      <c r="F93" s="52">
        <v>10</v>
      </c>
      <c r="G93" s="20">
        <v>8758.2000000000007</v>
      </c>
    </row>
    <row r="94" spans="1:7" x14ac:dyDescent="0.25">
      <c r="A94" s="3">
        <v>45489</v>
      </c>
      <c r="B94" s="5" t="s">
        <v>187</v>
      </c>
      <c r="C94" s="5" t="s">
        <v>188</v>
      </c>
      <c r="D94" s="52">
        <v>2</v>
      </c>
      <c r="E94" s="5" t="s">
        <v>16</v>
      </c>
      <c r="F94" s="52">
        <v>10</v>
      </c>
      <c r="G94" s="20">
        <v>2588.02</v>
      </c>
    </row>
    <row r="95" spans="1:7" x14ac:dyDescent="0.25">
      <c r="A95" s="3">
        <v>45489</v>
      </c>
      <c r="B95" s="5" t="s">
        <v>110</v>
      </c>
      <c r="C95" s="5" t="s">
        <v>111</v>
      </c>
      <c r="D95" s="52">
        <v>16</v>
      </c>
      <c r="E95" s="5" t="s">
        <v>16</v>
      </c>
      <c r="F95" s="52">
        <v>10</v>
      </c>
      <c r="G95" s="20">
        <v>20486.23</v>
      </c>
    </row>
    <row r="96" spans="1:7" x14ac:dyDescent="0.25">
      <c r="A96" s="3">
        <v>45489</v>
      </c>
      <c r="B96" s="5" t="s">
        <v>112</v>
      </c>
      <c r="C96" s="5" t="s">
        <v>227</v>
      </c>
      <c r="D96" s="52">
        <v>25</v>
      </c>
      <c r="E96" s="5" t="s">
        <v>16</v>
      </c>
      <c r="F96" s="52">
        <v>10</v>
      </c>
      <c r="G96" s="20">
        <v>44256.31</v>
      </c>
    </row>
    <row r="97" spans="1:7" x14ac:dyDescent="0.25">
      <c r="A97" s="3">
        <v>45489</v>
      </c>
      <c r="B97" s="5" t="s">
        <v>280</v>
      </c>
      <c r="C97" s="5" t="s">
        <v>281</v>
      </c>
      <c r="D97" s="52">
        <v>6</v>
      </c>
      <c r="E97" s="5" t="s">
        <v>16</v>
      </c>
      <c r="F97" s="52">
        <v>10</v>
      </c>
      <c r="G97" s="20">
        <v>4256.6499999999996</v>
      </c>
    </row>
    <row r="98" spans="1:7" x14ac:dyDescent="0.25">
      <c r="A98" s="3">
        <v>45489</v>
      </c>
      <c r="B98" s="5" t="s">
        <v>300</v>
      </c>
      <c r="C98" s="5" t="s">
        <v>301</v>
      </c>
      <c r="D98" s="52">
        <v>2</v>
      </c>
      <c r="E98" s="5" t="s">
        <v>16</v>
      </c>
      <c r="F98" s="52">
        <v>10</v>
      </c>
      <c r="G98" s="20">
        <v>2187.23</v>
      </c>
    </row>
    <row r="99" spans="1:7" x14ac:dyDescent="0.25">
      <c r="A99" s="3">
        <v>45489</v>
      </c>
      <c r="B99" s="5" t="s">
        <v>113</v>
      </c>
      <c r="C99" s="5" t="s">
        <v>228</v>
      </c>
      <c r="D99" s="52">
        <v>12</v>
      </c>
      <c r="E99" s="5" t="s">
        <v>16</v>
      </c>
      <c r="F99" s="52">
        <v>10</v>
      </c>
      <c r="G99" s="20">
        <v>17275.63</v>
      </c>
    </row>
    <row r="100" spans="1:7" x14ac:dyDescent="0.25">
      <c r="A100" s="3">
        <v>45489</v>
      </c>
      <c r="B100" s="5" t="s">
        <v>114</v>
      </c>
      <c r="C100" s="5" t="s">
        <v>115</v>
      </c>
      <c r="D100" s="52">
        <v>2</v>
      </c>
      <c r="E100" s="5" t="s">
        <v>16</v>
      </c>
      <c r="F100" s="52">
        <v>10</v>
      </c>
      <c r="G100" s="20">
        <v>3956.27</v>
      </c>
    </row>
    <row r="101" spans="1:7" x14ac:dyDescent="0.25">
      <c r="A101" s="3">
        <v>45489</v>
      </c>
      <c r="B101" s="5" t="s">
        <v>116</v>
      </c>
      <c r="C101" s="5" t="s">
        <v>117</v>
      </c>
      <c r="D101" s="52">
        <v>3</v>
      </c>
      <c r="E101" s="5" t="s">
        <v>16</v>
      </c>
      <c r="F101" s="52">
        <v>10</v>
      </c>
      <c r="G101" s="20">
        <v>10456.35</v>
      </c>
    </row>
    <row r="102" spans="1:7" x14ac:dyDescent="0.25">
      <c r="A102" s="3">
        <v>45489</v>
      </c>
      <c r="B102" s="5" t="s">
        <v>118</v>
      </c>
      <c r="C102" s="5" t="s">
        <v>119</v>
      </c>
      <c r="D102" s="52">
        <v>11</v>
      </c>
      <c r="E102" s="5" t="s">
        <v>16</v>
      </c>
      <c r="F102" s="52">
        <v>10</v>
      </c>
      <c r="G102" s="20">
        <v>902.13</v>
      </c>
    </row>
    <row r="103" spans="1:7" x14ac:dyDescent="0.25">
      <c r="A103" s="3">
        <v>45489</v>
      </c>
      <c r="B103" s="5" t="s">
        <v>273</v>
      </c>
      <c r="C103" s="5" t="s">
        <v>274</v>
      </c>
      <c r="D103" s="52">
        <v>33</v>
      </c>
      <c r="E103" s="5" t="s">
        <v>16</v>
      </c>
      <c r="F103" s="52">
        <v>10</v>
      </c>
      <c r="G103" s="20">
        <v>1741.51</v>
      </c>
    </row>
    <row r="104" spans="1:7" x14ac:dyDescent="0.25">
      <c r="A104" s="3">
        <v>45489</v>
      </c>
      <c r="B104" s="5" t="s">
        <v>120</v>
      </c>
      <c r="C104" s="5" t="s">
        <v>121</v>
      </c>
      <c r="D104" s="52">
        <v>3</v>
      </c>
      <c r="E104" s="5" t="s">
        <v>16</v>
      </c>
      <c r="F104" s="52">
        <v>10</v>
      </c>
      <c r="G104" s="20">
        <v>4921.16</v>
      </c>
    </row>
    <row r="105" spans="1:7" x14ac:dyDescent="0.25">
      <c r="A105" s="3">
        <v>45489</v>
      </c>
      <c r="B105" s="5" t="s">
        <v>129</v>
      </c>
      <c r="C105" s="5" t="s">
        <v>130</v>
      </c>
      <c r="D105" s="52">
        <v>7</v>
      </c>
      <c r="E105" s="5" t="s">
        <v>16</v>
      </c>
      <c r="F105" s="52">
        <v>10</v>
      </c>
      <c r="G105" s="20">
        <v>2709.68</v>
      </c>
    </row>
    <row r="106" spans="1:7" x14ac:dyDescent="0.25">
      <c r="A106" s="3">
        <v>45489</v>
      </c>
      <c r="B106" s="5" t="s">
        <v>241</v>
      </c>
      <c r="C106" s="5" t="s">
        <v>242</v>
      </c>
      <c r="D106" s="52">
        <v>2</v>
      </c>
      <c r="E106" s="5" t="s">
        <v>16</v>
      </c>
      <c r="F106" s="52">
        <v>10</v>
      </c>
      <c r="G106" s="20">
        <v>2879.7</v>
      </c>
    </row>
    <row r="107" spans="1:7" x14ac:dyDescent="0.25">
      <c r="G107" s="80"/>
    </row>
    <row r="108" spans="1:7" x14ac:dyDescent="0.25">
      <c r="G108"/>
    </row>
    <row r="109" spans="1:7" x14ac:dyDescent="0.25">
      <c r="G109"/>
    </row>
    <row r="110" spans="1:7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5E61A-0470-40F2-AF1E-DC0775CBEFEA}">
  <dimension ref="A1:AA38"/>
  <sheetViews>
    <sheetView tabSelected="1" workbookViewId="0">
      <selection activeCell="C2" sqref="C2"/>
    </sheetView>
  </sheetViews>
  <sheetFormatPr defaultRowHeight="12.5" x14ac:dyDescent="0.25"/>
  <cols>
    <col min="1" max="1" width="14.26953125" style="2" bestFit="1" customWidth="1"/>
    <col min="2" max="2" width="5.453125" style="2" bestFit="1" customWidth="1"/>
    <col min="3" max="3" width="12.26953125" style="2" bestFit="1" customWidth="1"/>
    <col min="4" max="4" width="8.1796875" style="2" bestFit="1" customWidth="1"/>
    <col min="5" max="5" width="11.36328125" style="2" bestFit="1" customWidth="1"/>
    <col min="6" max="6" width="12.36328125" style="2" bestFit="1" customWidth="1"/>
    <col min="7" max="7" width="5.81640625" style="2" bestFit="1" customWidth="1"/>
    <col min="8" max="8" width="20.1796875" style="2" bestFit="1" customWidth="1"/>
    <col min="9" max="9" width="12.453125" style="2" bestFit="1" customWidth="1"/>
    <col min="10" max="10" width="12.36328125" style="2" bestFit="1" customWidth="1"/>
    <col min="11" max="11" width="5.81640625" style="2" bestFit="1" customWidth="1"/>
    <col min="12" max="12" width="10.6328125" style="2" customWidth="1"/>
    <col min="13" max="13" width="12.453125" style="2" bestFit="1" customWidth="1"/>
    <col min="14" max="14" width="12.36328125" style="2" bestFit="1" customWidth="1"/>
    <col min="15" max="15" width="5.81640625" style="2" bestFit="1" customWidth="1"/>
    <col min="16" max="16" width="10.6328125" style="2" customWidth="1"/>
    <col min="17" max="17" width="11.36328125" style="2" bestFit="1" customWidth="1"/>
    <col min="18" max="18" width="12.36328125" style="2" bestFit="1" customWidth="1"/>
    <col min="19" max="19" width="5.81640625" style="2" bestFit="1" customWidth="1"/>
    <col min="20" max="20" width="10.6328125" style="2" customWidth="1"/>
    <col min="21" max="21" width="12.453125" style="2" bestFit="1" customWidth="1"/>
    <col min="22" max="22" width="12.36328125" style="2" bestFit="1" customWidth="1"/>
    <col min="23" max="23" width="5.81640625" style="2" bestFit="1" customWidth="1"/>
    <col min="24" max="24" width="10.6328125" style="2" customWidth="1"/>
    <col min="25" max="25" width="12.453125" style="2" bestFit="1" customWidth="1"/>
    <col min="26" max="26" width="12.36328125" style="2" bestFit="1" customWidth="1"/>
    <col min="27" max="27" width="5.81640625" style="2" bestFit="1" customWidth="1"/>
    <col min="28" max="16384" width="8.7265625" style="2"/>
  </cols>
  <sheetData>
    <row r="1" spans="1:27" ht="13" x14ac:dyDescent="0.25">
      <c r="C1" s="106" t="s">
        <v>2</v>
      </c>
      <c r="D1" s="106" t="s">
        <v>348</v>
      </c>
      <c r="E1" s="111">
        <v>45483</v>
      </c>
      <c r="F1" s="64" t="s">
        <v>352</v>
      </c>
      <c r="G1" s="64" t="s">
        <v>12</v>
      </c>
      <c r="H1" s="1" t="s">
        <v>353</v>
      </c>
      <c r="I1" s="111">
        <v>45484</v>
      </c>
      <c r="J1" s="64" t="s">
        <v>15</v>
      </c>
      <c r="K1" s="64" t="s">
        <v>12</v>
      </c>
      <c r="M1" s="111">
        <v>45485</v>
      </c>
      <c r="N1" s="107" t="s">
        <v>15</v>
      </c>
      <c r="O1" s="107" t="s">
        <v>12</v>
      </c>
      <c r="Q1" s="111">
        <v>45488</v>
      </c>
      <c r="R1" s="64" t="s">
        <v>15</v>
      </c>
      <c r="S1" s="64" t="s">
        <v>12</v>
      </c>
      <c r="U1" s="111">
        <v>45489</v>
      </c>
      <c r="V1" s="64" t="s">
        <v>15</v>
      </c>
      <c r="W1" s="64" t="s">
        <v>12</v>
      </c>
      <c r="Y1" s="111">
        <v>45490</v>
      </c>
      <c r="Z1" s="107" t="s">
        <v>15</v>
      </c>
      <c r="AA1" s="107" t="s">
        <v>12</v>
      </c>
    </row>
    <row r="2" spans="1:27" ht="13" x14ac:dyDescent="0.25">
      <c r="A2" s="106" t="s">
        <v>349</v>
      </c>
      <c r="B2" s="106" t="s">
        <v>350</v>
      </c>
      <c r="C2" s="106" t="str">
        <f>[1]!s_info_name(D2)</f>
        <v>阿里健康</v>
      </c>
      <c r="D2" s="106" t="s">
        <v>346</v>
      </c>
      <c r="E2" s="21">
        <f>[1]!WSD(D2:D34,B2,"2024-07-10","","TradingCalendar=SSE","Currency=CNY","rptType=1","Direction=V","ShowParams=Y","cols=6;rows=33")</f>
        <v>2.8494647999999998</v>
      </c>
      <c r="F2" s="88">
        <v>2681.58</v>
      </c>
      <c r="G2" s="87">
        <v>942</v>
      </c>
      <c r="H2" s="2">
        <f>SUMPRODUCT(E2,G2)</f>
        <v>2684.1958415999998</v>
      </c>
      <c r="I2" s="21">
        <v>2.9046120000000002</v>
      </c>
      <c r="J2" s="88">
        <v>2657.66</v>
      </c>
      <c r="K2" s="87">
        <v>942</v>
      </c>
      <c r="M2" s="21">
        <v>3.0233209000000003</v>
      </c>
      <c r="N2" s="108">
        <v>2684.2</v>
      </c>
      <c r="O2" s="112">
        <v>942</v>
      </c>
      <c r="Q2" s="21">
        <v>2.9500558999999997</v>
      </c>
      <c r="R2" s="88">
        <v>2736.14</v>
      </c>
      <c r="S2" s="87">
        <v>942</v>
      </c>
      <c r="U2" s="21">
        <v>2.8780919999999997</v>
      </c>
      <c r="V2" s="88">
        <v>2847.97</v>
      </c>
      <c r="W2" s="87">
        <v>942</v>
      </c>
      <c r="Y2" s="21">
        <v>2.877777</v>
      </c>
      <c r="Z2" s="108">
        <v>2778.95</v>
      </c>
      <c r="AA2" s="112">
        <v>942</v>
      </c>
    </row>
    <row r="3" spans="1:27" ht="13" x14ac:dyDescent="0.25">
      <c r="C3" s="106" t="str">
        <f>[1]!s_info_name(D3)</f>
        <v>腾讯控股</v>
      </c>
      <c r="D3" s="106" t="s">
        <v>164</v>
      </c>
      <c r="E3" s="21">
        <v>344.85830399999998</v>
      </c>
      <c r="F3" s="88">
        <v>316418.13</v>
      </c>
      <c r="G3" s="87">
        <v>916</v>
      </c>
      <c r="H3" s="2">
        <f t="shared" ref="H3:H34" si="0">SUMPRODUCT(E3,G3)</f>
        <v>315890.20646399999</v>
      </c>
      <c r="I3" s="21">
        <v>351.47631999999999</v>
      </c>
      <c r="J3" s="88">
        <v>318647.31</v>
      </c>
      <c r="K3" s="87">
        <v>916</v>
      </c>
      <c r="M3" s="21">
        <v>362.61583000000002</v>
      </c>
      <c r="N3" s="108">
        <v>315890.21000000002</v>
      </c>
      <c r="O3" s="112">
        <v>916</v>
      </c>
      <c r="Q3" s="21">
        <v>356.38136599999996</v>
      </c>
      <c r="R3" s="88">
        <v>321952.31</v>
      </c>
      <c r="S3" s="87">
        <v>916</v>
      </c>
      <c r="U3" s="21">
        <v>345.37103999999999</v>
      </c>
      <c r="V3" s="88">
        <v>332156.09999999998</v>
      </c>
      <c r="W3" s="87">
        <v>916</v>
      </c>
      <c r="Y3" s="21">
        <v>345.33324000000005</v>
      </c>
      <c r="Z3" s="108">
        <v>326445.33</v>
      </c>
      <c r="AA3" s="112">
        <v>916</v>
      </c>
    </row>
    <row r="4" spans="1:27" ht="13" x14ac:dyDescent="0.25">
      <c r="C4" s="106" t="str">
        <f>[1]!s_info_name(D4)</f>
        <v>阅文集团</v>
      </c>
      <c r="D4" s="106" t="s">
        <v>30</v>
      </c>
      <c r="E4" s="21">
        <v>22.832249999999998</v>
      </c>
      <c r="F4" s="88">
        <v>1686.8</v>
      </c>
      <c r="G4" s="87">
        <v>75</v>
      </c>
      <c r="H4" s="2">
        <f t="shared" si="0"/>
        <v>1712.4187499999998</v>
      </c>
      <c r="I4" s="21">
        <v>23.702729999999999</v>
      </c>
      <c r="J4" s="88">
        <v>1715.37</v>
      </c>
      <c r="K4" s="87">
        <v>75</v>
      </c>
      <c r="M4" s="21">
        <v>24.1591655</v>
      </c>
      <c r="N4" s="108">
        <v>1712.42</v>
      </c>
      <c r="O4" s="112">
        <v>75</v>
      </c>
      <c r="Q4" s="21">
        <v>23.929245999999999</v>
      </c>
      <c r="R4" s="88">
        <v>1777.7</v>
      </c>
      <c r="S4" s="87">
        <v>75</v>
      </c>
      <c r="U4" s="21">
        <v>23.801364</v>
      </c>
      <c r="V4" s="88">
        <v>1811.94</v>
      </c>
      <c r="W4" s="87">
        <v>75</v>
      </c>
      <c r="Y4" s="21">
        <v>23.798759</v>
      </c>
      <c r="Z4" s="108">
        <v>1794.69</v>
      </c>
      <c r="AA4" s="112">
        <v>75</v>
      </c>
    </row>
    <row r="5" spans="1:27" x14ac:dyDescent="0.25">
      <c r="C5" s="106" t="str">
        <f>[1]!s_info_name(D5)</f>
        <v>同程旅行</v>
      </c>
      <c r="D5" s="106" t="s">
        <v>158</v>
      </c>
      <c r="E5" s="21">
        <v>13.662818399999999</v>
      </c>
      <c r="F5" s="92">
        <v>2680.92</v>
      </c>
      <c r="G5" s="91">
        <v>198</v>
      </c>
      <c r="H5" s="2">
        <f t="shared" si="0"/>
        <v>2705.2380432</v>
      </c>
      <c r="I5" s="21">
        <v>14.1577</v>
      </c>
      <c r="J5" s="92">
        <v>2675.57</v>
      </c>
      <c r="K5" s="91">
        <v>198</v>
      </c>
      <c r="M5" s="21">
        <v>14.066206000000001</v>
      </c>
      <c r="N5" s="109">
        <v>2705.24</v>
      </c>
      <c r="O5" s="113">
        <v>198</v>
      </c>
      <c r="Q5" s="21">
        <v>13.699949999999999</v>
      </c>
      <c r="R5" s="92">
        <v>2803.22</v>
      </c>
      <c r="S5" s="91">
        <v>198</v>
      </c>
      <c r="U5" s="21">
        <v>13.6686528</v>
      </c>
      <c r="V5" s="92">
        <v>2785.11</v>
      </c>
      <c r="W5" s="91">
        <v>198</v>
      </c>
      <c r="Y5" s="21">
        <v>13.667156800000001</v>
      </c>
      <c r="Z5" s="109">
        <v>2712.59</v>
      </c>
      <c r="AA5" s="113">
        <v>198</v>
      </c>
    </row>
    <row r="6" spans="1:27" x14ac:dyDescent="0.25">
      <c r="C6" s="106" t="str">
        <f>[1]!s_info_name(D6)</f>
        <v>快手-W</v>
      </c>
      <c r="D6" s="106" t="s">
        <v>189</v>
      </c>
      <c r="E6" s="21">
        <v>43.015958999999995</v>
      </c>
      <c r="F6" s="92">
        <v>18533.580000000002</v>
      </c>
      <c r="G6" s="91">
        <v>444</v>
      </c>
      <c r="H6" s="2">
        <f t="shared" si="0"/>
        <v>19099.085795999999</v>
      </c>
      <c r="I6" s="21">
        <v>43.569180000000003</v>
      </c>
      <c r="J6" s="92">
        <v>19296.55</v>
      </c>
      <c r="K6" s="91">
        <v>444</v>
      </c>
      <c r="M6" s="21">
        <v>44.8931185</v>
      </c>
      <c r="N6" s="109">
        <v>19099.09</v>
      </c>
      <c r="O6" s="113">
        <v>444</v>
      </c>
      <c r="Q6" s="21">
        <v>43.702840500000001</v>
      </c>
      <c r="R6" s="92">
        <v>19344.72</v>
      </c>
      <c r="S6" s="91">
        <v>444</v>
      </c>
      <c r="U6" s="21">
        <v>42.303383999999994</v>
      </c>
      <c r="V6" s="92">
        <v>19932.54</v>
      </c>
      <c r="W6" s="91">
        <v>444</v>
      </c>
      <c r="Y6" s="21">
        <v>42.298754000000002</v>
      </c>
      <c r="Z6" s="109">
        <v>19404.060000000001</v>
      </c>
      <c r="AA6" s="113">
        <v>444</v>
      </c>
    </row>
    <row r="7" spans="1:27" x14ac:dyDescent="0.25">
      <c r="C7" s="106" t="str">
        <f>[1]!s_info_name(D7)</f>
        <v>东方甄选</v>
      </c>
      <c r="D7" s="106" t="s">
        <v>276</v>
      </c>
      <c r="E7" s="21">
        <v>10.612429799999999</v>
      </c>
      <c r="F7" s="92">
        <v>812.95</v>
      </c>
      <c r="G7" s="91">
        <v>75</v>
      </c>
      <c r="H7" s="2">
        <f t="shared" si="0"/>
        <v>795.93223499999999</v>
      </c>
      <c r="I7" s="21">
        <v>10.796388</v>
      </c>
      <c r="J7" s="92">
        <v>777.91</v>
      </c>
      <c r="K7" s="91">
        <v>75</v>
      </c>
      <c r="M7" s="21">
        <v>11.015483400000001</v>
      </c>
      <c r="N7" s="109">
        <v>795.93</v>
      </c>
      <c r="O7" s="113">
        <v>75</v>
      </c>
      <c r="Q7" s="21">
        <v>10.5763614</v>
      </c>
      <c r="R7" s="92">
        <v>809.73</v>
      </c>
      <c r="S7" s="91">
        <v>75</v>
      </c>
      <c r="U7" s="21">
        <v>10.525593599999999</v>
      </c>
      <c r="V7" s="92">
        <v>826.16</v>
      </c>
      <c r="W7" s="91">
        <v>75</v>
      </c>
      <c r="Y7" s="21">
        <v>10.524441600000001</v>
      </c>
      <c r="Z7" s="109">
        <v>793.23</v>
      </c>
      <c r="AA7" s="113">
        <v>75</v>
      </c>
    </row>
    <row r="8" spans="1:27" x14ac:dyDescent="0.25">
      <c r="C8" s="106" t="str">
        <f>[1]!s_info_name(D8)</f>
        <v>小米集团-W</v>
      </c>
      <c r="D8" s="106" t="s">
        <v>172</v>
      </c>
      <c r="E8" s="21">
        <v>14.722234800000001</v>
      </c>
      <c r="F8" s="92">
        <v>38491.4</v>
      </c>
      <c r="G8" s="91">
        <v>2563</v>
      </c>
      <c r="H8" s="2">
        <f t="shared" si="0"/>
        <v>37733.087792400001</v>
      </c>
      <c r="I8" s="21">
        <v>15.235512</v>
      </c>
      <c r="J8" s="92">
        <v>38377.99</v>
      </c>
      <c r="K8" s="91">
        <v>2563</v>
      </c>
      <c r="M8" s="21">
        <v>15.3814876</v>
      </c>
      <c r="N8" s="109">
        <v>37733.089999999997</v>
      </c>
      <c r="O8" s="113">
        <v>2563</v>
      </c>
      <c r="Q8" s="21">
        <v>15.0334118</v>
      </c>
      <c r="R8" s="92">
        <v>39048.620000000003</v>
      </c>
      <c r="S8" s="91">
        <v>2563</v>
      </c>
      <c r="U8" s="21">
        <v>14.9295312</v>
      </c>
      <c r="V8" s="92">
        <v>39422.75</v>
      </c>
      <c r="W8" s="91">
        <v>2563</v>
      </c>
      <c r="Y8" s="21">
        <v>14.9278972</v>
      </c>
      <c r="Z8" s="109">
        <v>38530.629999999997</v>
      </c>
      <c r="AA8" s="113">
        <v>2563</v>
      </c>
    </row>
    <row r="9" spans="1:27" x14ac:dyDescent="0.25">
      <c r="C9" s="106" t="str">
        <f>[1]!s_info_name(D9)</f>
        <v>平安好医生</v>
      </c>
      <c r="D9" s="106" t="s">
        <v>166</v>
      </c>
      <c r="E9" s="21">
        <v>9.4251527999999993</v>
      </c>
      <c r="F9" s="92">
        <v>954.95</v>
      </c>
      <c r="G9" s="91">
        <v>98</v>
      </c>
      <c r="H9" s="2">
        <f t="shared" si="0"/>
        <v>923.66497439999989</v>
      </c>
      <c r="I9" s="21">
        <v>9.6089679999999991</v>
      </c>
      <c r="J9" s="92">
        <v>934.15</v>
      </c>
      <c r="K9" s="91">
        <v>98</v>
      </c>
      <c r="M9" s="21">
        <v>9.864612000000001</v>
      </c>
      <c r="N9" s="109">
        <v>923.66</v>
      </c>
      <c r="O9" s="113">
        <v>98</v>
      </c>
      <c r="Q9" s="21">
        <v>9.4803654000000002</v>
      </c>
      <c r="R9" s="92">
        <v>941.68</v>
      </c>
      <c r="S9" s="91">
        <v>98</v>
      </c>
      <c r="U9" s="21">
        <v>9.5022719999999996</v>
      </c>
      <c r="V9" s="92">
        <v>966.73</v>
      </c>
      <c r="W9" s="91">
        <v>98</v>
      </c>
      <c r="Y9" s="21">
        <v>9.5012320000000017</v>
      </c>
      <c r="Z9" s="109">
        <v>929.08</v>
      </c>
      <c r="AA9" s="113">
        <v>98</v>
      </c>
    </row>
    <row r="10" spans="1:27" x14ac:dyDescent="0.25">
      <c r="C10" s="106" t="str">
        <f>[1]!s_info_name(D10)</f>
        <v>美团-W</v>
      </c>
      <c r="D10" s="106" t="s">
        <v>132</v>
      </c>
      <c r="E10" s="21">
        <v>104.937021</v>
      </c>
      <c r="F10" s="92">
        <v>97463.48</v>
      </c>
      <c r="G10" s="91">
        <v>913</v>
      </c>
      <c r="H10" s="2">
        <f t="shared" si="0"/>
        <v>95807.500173000008</v>
      </c>
      <c r="I10" s="21">
        <v>106.04574</v>
      </c>
      <c r="J10" s="92">
        <v>95614.55</v>
      </c>
      <c r="K10" s="91">
        <v>913</v>
      </c>
      <c r="M10" s="21">
        <v>111.250902</v>
      </c>
      <c r="N10" s="109">
        <v>95807.5</v>
      </c>
      <c r="O10" s="113">
        <v>913</v>
      </c>
      <c r="Q10" s="21">
        <v>108.77760299999998</v>
      </c>
      <c r="R10" s="92">
        <v>96819.76</v>
      </c>
      <c r="S10" s="91">
        <v>913</v>
      </c>
      <c r="U10" s="21">
        <v>107.3574</v>
      </c>
      <c r="V10" s="92">
        <v>101460.82</v>
      </c>
      <c r="W10" s="91">
        <v>912</v>
      </c>
      <c r="Y10" s="21">
        <v>107.34565000000001</v>
      </c>
      <c r="Z10" s="109">
        <v>99205.17</v>
      </c>
      <c r="AA10" s="113">
        <v>912</v>
      </c>
    </row>
    <row r="11" spans="1:27" x14ac:dyDescent="0.25">
      <c r="C11" s="106" t="str">
        <f>[1]!s_info_name(D11)</f>
        <v>金山软件</v>
      </c>
      <c r="D11" s="106" t="s">
        <v>18</v>
      </c>
      <c r="E11" s="21">
        <v>20.275037999999999</v>
      </c>
      <c r="F11" s="92">
        <v>2752.71</v>
      </c>
      <c r="G11" s="91">
        <v>140</v>
      </c>
      <c r="H11" s="2">
        <f t="shared" si="0"/>
        <v>2838.5053199999998</v>
      </c>
      <c r="I11" s="21">
        <v>20.50583</v>
      </c>
      <c r="J11" s="92">
        <v>2818.55</v>
      </c>
      <c r="K11" s="91">
        <v>140</v>
      </c>
      <c r="M11" s="21">
        <v>21.00797</v>
      </c>
      <c r="N11" s="109">
        <v>2838.51</v>
      </c>
      <c r="O11" s="113">
        <v>140</v>
      </c>
      <c r="Q11" s="21">
        <v>20.367259000000001</v>
      </c>
      <c r="R11" s="92">
        <v>2870.82</v>
      </c>
      <c r="S11" s="91">
        <v>140</v>
      </c>
      <c r="U11" s="21">
        <v>20.192328</v>
      </c>
      <c r="V11" s="92">
        <v>2941.12</v>
      </c>
      <c r="W11" s="91">
        <v>140</v>
      </c>
      <c r="Y11" s="21">
        <v>20.190118000000002</v>
      </c>
      <c r="Z11" s="109">
        <v>2851.42</v>
      </c>
      <c r="AA11" s="113">
        <v>140</v>
      </c>
    </row>
    <row r="12" spans="1:27" x14ac:dyDescent="0.25">
      <c r="C12" s="106" t="str">
        <f>[1]!s_info_name(D12)</f>
        <v>众安在线</v>
      </c>
      <c r="D12" s="106" t="s">
        <v>181</v>
      </c>
      <c r="E12" s="21">
        <v>11.653580399999999</v>
      </c>
      <c r="F12" s="92">
        <v>1430.19</v>
      </c>
      <c r="G12" s="91">
        <v>125</v>
      </c>
      <c r="H12" s="2">
        <f t="shared" si="0"/>
        <v>1456.6975499999999</v>
      </c>
      <c r="I12" s="21">
        <v>11.947272</v>
      </c>
      <c r="J12" s="92">
        <v>1460.86</v>
      </c>
      <c r="K12" s="91">
        <v>125</v>
      </c>
      <c r="M12" s="21">
        <v>12.294229400000001</v>
      </c>
      <c r="N12" s="109">
        <v>1456.7</v>
      </c>
      <c r="O12" s="113">
        <v>125</v>
      </c>
      <c r="Q12" s="21">
        <v>11.873289999999999</v>
      </c>
      <c r="R12" s="92">
        <v>1493.41</v>
      </c>
      <c r="S12" s="91">
        <v>125</v>
      </c>
      <c r="U12" s="21">
        <v>11.8961136</v>
      </c>
      <c r="V12" s="92">
        <v>1536.78</v>
      </c>
      <c r="W12" s="91">
        <v>125</v>
      </c>
      <c r="Y12" s="21">
        <v>11.894811600000001</v>
      </c>
      <c r="Z12" s="109">
        <v>1484.16</v>
      </c>
      <c r="AA12" s="113">
        <v>125</v>
      </c>
    </row>
    <row r="13" spans="1:27" x14ac:dyDescent="0.25">
      <c r="C13" s="106" t="str">
        <f>[1]!s_info_name(D13)</f>
        <v>京东健康</v>
      </c>
      <c r="D13" s="106" t="s">
        <v>183</v>
      </c>
      <c r="E13" s="21">
        <v>18.859438499999996</v>
      </c>
      <c r="F13" s="92">
        <v>3540.34</v>
      </c>
      <c r="G13" s="91">
        <v>187</v>
      </c>
      <c r="H13" s="2">
        <f t="shared" si="0"/>
        <v>3526.7149994999991</v>
      </c>
      <c r="I13" s="21">
        <v>19.546759999999999</v>
      </c>
      <c r="J13" s="92">
        <v>3525.75</v>
      </c>
      <c r="K13" s="91">
        <v>187</v>
      </c>
      <c r="M13" s="21">
        <v>20.779622500000002</v>
      </c>
      <c r="N13" s="109">
        <v>3526.71</v>
      </c>
      <c r="O13" s="113">
        <v>187</v>
      </c>
      <c r="Q13" s="21">
        <v>19.682261499999999</v>
      </c>
      <c r="R13" s="92">
        <v>3655.24</v>
      </c>
      <c r="S13" s="91">
        <v>187</v>
      </c>
      <c r="U13" s="21">
        <v>19.095911999999998</v>
      </c>
      <c r="V13" s="92">
        <v>3885.79</v>
      </c>
      <c r="W13" s="91">
        <v>187</v>
      </c>
      <c r="Y13" s="21">
        <v>19.093821999999999</v>
      </c>
      <c r="Z13" s="109">
        <v>3680.58</v>
      </c>
      <c r="AA13" s="113">
        <v>187</v>
      </c>
    </row>
    <row r="14" spans="1:27" x14ac:dyDescent="0.25">
      <c r="C14" s="106" t="str">
        <f>[1]!s_info_name(D14)</f>
        <v>京东集团-SW</v>
      </c>
      <c r="D14" s="106" t="s">
        <v>253</v>
      </c>
      <c r="E14" s="21">
        <v>94.890830999999991</v>
      </c>
      <c r="F14" s="92">
        <v>34771.56</v>
      </c>
      <c r="G14" s="91">
        <v>370</v>
      </c>
      <c r="H14" s="2">
        <f t="shared" si="0"/>
        <v>35109.607469999995</v>
      </c>
      <c r="I14" s="21">
        <v>97.551119999999997</v>
      </c>
      <c r="J14" s="92">
        <v>34525.69</v>
      </c>
      <c r="K14" s="91">
        <v>370</v>
      </c>
      <c r="M14" s="21">
        <v>102.29968000000001</v>
      </c>
      <c r="N14" s="109">
        <v>35109.61</v>
      </c>
      <c r="O14" s="113">
        <v>370</v>
      </c>
      <c r="Q14" s="21">
        <v>97.452310999999995</v>
      </c>
      <c r="R14" s="92">
        <v>36093.910000000003</v>
      </c>
      <c r="S14" s="91">
        <v>370</v>
      </c>
      <c r="U14" s="21">
        <v>95.479559999999992</v>
      </c>
      <c r="V14" s="92">
        <v>37850.879999999997</v>
      </c>
      <c r="W14" s="91">
        <v>370</v>
      </c>
      <c r="Y14" s="21">
        <v>95.469110000000001</v>
      </c>
      <c r="Z14" s="109">
        <v>36057.360000000001</v>
      </c>
      <c r="AA14" s="113">
        <v>370</v>
      </c>
    </row>
    <row r="15" spans="1:27" x14ac:dyDescent="0.25">
      <c r="C15" s="106" t="str">
        <f>[1]!s_info_name(D15)</f>
        <v>哔哩哔哩-W</v>
      </c>
      <c r="D15" s="106" t="s">
        <v>255</v>
      </c>
      <c r="E15" s="21">
        <v>119.18434499999999</v>
      </c>
      <c r="F15" s="92">
        <v>4801.6000000000004</v>
      </c>
      <c r="G15" s="91">
        <v>42</v>
      </c>
      <c r="H15" s="2">
        <f t="shared" si="0"/>
        <v>5005.7424899999996</v>
      </c>
      <c r="I15" s="21">
        <v>122.66962000000001</v>
      </c>
      <c r="J15" s="92">
        <v>4973.6899999999996</v>
      </c>
      <c r="K15" s="91">
        <v>42</v>
      </c>
      <c r="M15" s="21">
        <v>124.677735</v>
      </c>
      <c r="N15" s="109">
        <v>5005.74</v>
      </c>
      <c r="O15" s="113">
        <v>42</v>
      </c>
      <c r="Q15" s="21">
        <v>114.62291499999999</v>
      </c>
      <c r="R15" s="92">
        <v>5152.12</v>
      </c>
      <c r="S15" s="91">
        <v>42</v>
      </c>
      <c r="U15" s="21">
        <v>116.03735999999999</v>
      </c>
      <c r="V15" s="92">
        <v>5236.46</v>
      </c>
      <c r="W15" s="91">
        <v>42</v>
      </c>
      <c r="Y15" s="21">
        <v>116.02466000000001</v>
      </c>
      <c r="Z15" s="109">
        <v>4814.16</v>
      </c>
      <c r="AA15" s="113">
        <v>42</v>
      </c>
    </row>
    <row r="16" spans="1:27" x14ac:dyDescent="0.25">
      <c r="C16" s="106" t="str">
        <f>[1]!s_info_name(D16)</f>
        <v>药师帮</v>
      </c>
      <c r="D16" s="106" t="s">
        <v>302</v>
      </c>
      <c r="E16" s="21">
        <v>7.2880541999999995</v>
      </c>
      <c r="F16" s="92">
        <v>405.69</v>
      </c>
      <c r="G16" s="91">
        <v>56</v>
      </c>
      <c r="H16" s="2">
        <f t="shared" si="0"/>
        <v>408.13103519999999</v>
      </c>
      <c r="I16" s="21">
        <v>7.3620040000000007</v>
      </c>
      <c r="J16" s="92">
        <v>400.35</v>
      </c>
      <c r="K16" s="91">
        <v>56</v>
      </c>
      <c r="M16" s="21">
        <v>7.4258607000000012</v>
      </c>
      <c r="N16" s="109">
        <v>408.13</v>
      </c>
      <c r="O16" s="113">
        <v>56</v>
      </c>
      <c r="Q16" s="21">
        <v>7.2153070000000001</v>
      </c>
      <c r="R16" s="92">
        <v>412.27</v>
      </c>
      <c r="S16" s="91">
        <v>56</v>
      </c>
      <c r="U16" s="21">
        <v>7.1541143999999992</v>
      </c>
      <c r="V16" s="92">
        <v>415.85</v>
      </c>
      <c r="W16" s="91">
        <v>56</v>
      </c>
      <c r="Y16" s="21">
        <v>7.1533314000000008</v>
      </c>
      <c r="Z16" s="109">
        <v>404.06</v>
      </c>
      <c r="AA16" s="113">
        <v>56</v>
      </c>
    </row>
    <row r="17" spans="3:27" x14ac:dyDescent="0.25">
      <c r="C17" s="106" t="str">
        <f>[1]!s_info_name(D17)</f>
        <v>百度集团-SW</v>
      </c>
      <c r="D17" s="106" t="s">
        <v>256</v>
      </c>
      <c r="E17" s="21">
        <v>86.808214499999991</v>
      </c>
      <c r="F17" s="92">
        <v>32636.18</v>
      </c>
      <c r="G17" s="91">
        <v>414</v>
      </c>
      <c r="H17" s="2">
        <f t="shared" si="0"/>
        <v>35938.600802999994</v>
      </c>
      <c r="I17" s="21">
        <v>88.782480000000007</v>
      </c>
      <c r="J17" s="92">
        <v>32621.279999999999</v>
      </c>
      <c r="K17" s="91">
        <v>414</v>
      </c>
      <c r="M17" s="21">
        <v>90.882305000000002</v>
      </c>
      <c r="N17" s="109">
        <v>35938.6</v>
      </c>
      <c r="O17" s="113">
        <v>414</v>
      </c>
      <c r="Q17" s="21">
        <v>85.807353500000005</v>
      </c>
      <c r="R17" s="92">
        <v>36755.949999999997</v>
      </c>
      <c r="S17" s="91">
        <v>414</v>
      </c>
      <c r="U17" s="21">
        <v>83.281931999999998</v>
      </c>
      <c r="V17" s="92">
        <v>37625.269999999997</v>
      </c>
      <c r="W17" s="91">
        <v>414</v>
      </c>
      <c r="Y17" s="21">
        <v>83.272817000000018</v>
      </c>
      <c r="Z17" s="109">
        <v>35524.239999999998</v>
      </c>
      <c r="AA17" s="113">
        <v>414</v>
      </c>
    </row>
    <row r="18" spans="3:27" x14ac:dyDescent="0.25">
      <c r="C18" s="106" t="str">
        <f>[1]!s_info_name(D18)</f>
        <v>中旭未来</v>
      </c>
      <c r="D18" s="106" t="s">
        <v>304</v>
      </c>
      <c r="E18" s="21">
        <v>11.215201199999999</v>
      </c>
      <c r="F18" s="92">
        <v>352.99</v>
      </c>
      <c r="G18" s="91">
        <v>31</v>
      </c>
      <c r="H18" s="2">
        <f t="shared" si="0"/>
        <v>347.67123719999995</v>
      </c>
      <c r="I18" s="21">
        <v>11.32616</v>
      </c>
      <c r="J18" s="92">
        <v>353.8</v>
      </c>
      <c r="K18" s="91">
        <v>31</v>
      </c>
      <c r="M18" s="21">
        <v>11.581785200000001</v>
      </c>
      <c r="N18" s="109">
        <v>347.67</v>
      </c>
      <c r="O18" s="113">
        <v>31</v>
      </c>
      <c r="Q18" s="21">
        <v>10.9964932</v>
      </c>
      <c r="R18" s="92">
        <v>351.11</v>
      </c>
      <c r="S18" s="91">
        <v>31</v>
      </c>
      <c r="U18" s="21">
        <v>10.817971199999999</v>
      </c>
      <c r="V18" s="92">
        <v>359.04</v>
      </c>
      <c r="W18" s="91">
        <v>31</v>
      </c>
      <c r="Y18" s="21">
        <v>10.8167872</v>
      </c>
      <c r="Z18" s="109">
        <v>340.89</v>
      </c>
      <c r="AA18" s="113">
        <v>31</v>
      </c>
    </row>
    <row r="19" spans="3:27" x14ac:dyDescent="0.25">
      <c r="C19" s="106" t="str">
        <f>[1]!s_info_name(D19)</f>
        <v>携程集团-S</v>
      </c>
      <c r="D19" s="106" t="s">
        <v>258</v>
      </c>
      <c r="E19" s="21">
        <v>357.644364</v>
      </c>
      <c r="F19" s="92">
        <v>35328.129999999997</v>
      </c>
      <c r="G19" s="91">
        <v>100</v>
      </c>
      <c r="H19" s="2">
        <f t="shared" si="0"/>
        <v>35764.436399999999</v>
      </c>
      <c r="I19" s="21">
        <v>358.60084000000001</v>
      </c>
      <c r="J19" s="92">
        <v>35517.26</v>
      </c>
      <c r="K19" s="91">
        <v>100</v>
      </c>
      <c r="M19" s="21">
        <v>361.33708400000006</v>
      </c>
      <c r="N19" s="109">
        <v>35764.44</v>
      </c>
      <c r="O19" s="113">
        <v>100</v>
      </c>
      <c r="Q19" s="21">
        <v>354.73737199999999</v>
      </c>
      <c r="R19" s="92">
        <v>35860.080000000002</v>
      </c>
      <c r="S19" s="91">
        <v>100</v>
      </c>
      <c r="U19" s="21">
        <v>341.53358399999996</v>
      </c>
      <c r="V19" s="92">
        <v>36133.71</v>
      </c>
      <c r="W19" s="91">
        <v>100</v>
      </c>
      <c r="Y19" s="21">
        <v>341.49620400000003</v>
      </c>
      <c r="Z19" s="109">
        <v>35473.74</v>
      </c>
      <c r="AA19" s="113">
        <v>100</v>
      </c>
    </row>
    <row r="20" spans="3:27" x14ac:dyDescent="0.25">
      <c r="C20" s="106" t="str">
        <f>[1]!s_info_name(D20)</f>
        <v>阿里巴巴-SW</v>
      </c>
      <c r="D20" s="106" t="s">
        <v>260</v>
      </c>
      <c r="E20" s="21">
        <v>66.761498999999986</v>
      </c>
      <c r="F20" s="92">
        <v>203147.5</v>
      </c>
      <c r="G20" s="91">
        <v>3101</v>
      </c>
      <c r="H20" s="2">
        <f t="shared" si="0"/>
        <v>207027.40839899995</v>
      </c>
      <c r="I20" s="21">
        <v>68.916030000000006</v>
      </c>
      <c r="J20" s="92">
        <v>205271.94</v>
      </c>
      <c r="K20" s="91">
        <v>3101</v>
      </c>
      <c r="M20" s="21">
        <v>71.609776000000011</v>
      </c>
      <c r="N20" s="109">
        <v>206960.65</v>
      </c>
      <c r="O20" s="113">
        <v>3100</v>
      </c>
      <c r="Q20" s="21">
        <v>70.006744499999996</v>
      </c>
      <c r="R20" s="92">
        <v>213639.69</v>
      </c>
      <c r="S20" s="91">
        <v>3100</v>
      </c>
      <c r="U20" s="21">
        <v>68.982839999999996</v>
      </c>
      <c r="V20" s="92">
        <v>221990.31</v>
      </c>
      <c r="W20" s="91">
        <v>3100</v>
      </c>
      <c r="Y20" s="21">
        <v>68.975290000000001</v>
      </c>
      <c r="Z20" s="109">
        <v>217020.91</v>
      </c>
      <c r="AA20" s="113">
        <v>3100</v>
      </c>
    </row>
    <row r="21" spans="3:27" x14ac:dyDescent="0.25">
      <c r="C21" s="106" t="str">
        <f>[1]!s_info_name(D21)</f>
        <v>网易-S</v>
      </c>
      <c r="D21" s="106" t="s">
        <v>262</v>
      </c>
      <c r="E21" s="21">
        <v>129.41319299999998</v>
      </c>
      <c r="F21" s="92">
        <v>37707.67</v>
      </c>
      <c r="G21" s="91">
        <v>288</v>
      </c>
      <c r="H21" s="2">
        <f t="shared" si="0"/>
        <v>37270.99958399999</v>
      </c>
      <c r="I21" s="21">
        <v>130.25083999999998</v>
      </c>
      <c r="J21" s="92">
        <v>37997.07</v>
      </c>
      <c r="K21" s="91">
        <v>288</v>
      </c>
      <c r="M21" s="21">
        <v>131.52816000000001</v>
      </c>
      <c r="N21" s="109">
        <v>37271</v>
      </c>
      <c r="O21" s="113">
        <v>288</v>
      </c>
      <c r="Q21" s="21">
        <v>132.34151700000001</v>
      </c>
      <c r="R21" s="92">
        <v>37512.239999999998</v>
      </c>
      <c r="S21" s="91">
        <v>288</v>
      </c>
      <c r="U21" s="21">
        <v>131.56992</v>
      </c>
      <c r="V21" s="92">
        <v>37880.11</v>
      </c>
      <c r="W21" s="91">
        <v>288</v>
      </c>
      <c r="Y21" s="21">
        <v>131.55552</v>
      </c>
      <c r="Z21" s="109">
        <v>38114.36</v>
      </c>
      <c r="AA21" s="113">
        <v>288</v>
      </c>
    </row>
    <row r="22" spans="3:27" x14ac:dyDescent="0.25">
      <c r="C22" s="106" t="str">
        <f>[1]!s_info_name(D22)</f>
        <v>汽车之家</v>
      </c>
      <c r="D22" s="106" t="s">
        <v>20</v>
      </c>
      <c r="E22" s="21">
        <v>196.97526199999999</v>
      </c>
      <c r="F22" s="94">
        <v>2158.75</v>
      </c>
      <c r="G22" s="93">
        <v>11</v>
      </c>
      <c r="H22" s="2">
        <f t="shared" si="0"/>
        <v>2166.7278819999997</v>
      </c>
      <c r="I22" s="21">
        <v>200.605268</v>
      </c>
      <c r="J22" s="94">
        <v>2137.52</v>
      </c>
      <c r="K22" s="93">
        <v>11</v>
      </c>
      <c r="M22" s="21">
        <v>201.25092999999998</v>
      </c>
      <c r="N22" s="94">
        <v>2166.73</v>
      </c>
      <c r="O22" s="93">
        <v>11</v>
      </c>
      <c r="Q22" s="21">
        <v>195.11236799999998</v>
      </c>
      <c r="R22" s="94">
        <v>2206.66</v>
      </c>
      <c r="S22" s="93">
        <v>11</v>
      </c>
      <c r="U22" s="21">
        <v>199.57574399999999</v>
      </c>
      <c r="V22" s="94">
        <v>2213.7600000000002</v>
      </c>
      <c r="W22" s="93">
        <v>11</v>
      </c>
      <c r="Y22" s="21">
        <v>199.54776399999997</v>
      </c>
      <c r="Z22" s="110">
        <v>2146.2399999999998</v>
      </c>
      <c r="AA22" s="114">
        <v>11</v>
      </c>
    </row>
    <row r="23" spans="3:27" x14ac:dyDescent="0.25">
      <c r="C23" s="106" t="str">
        <f>[1]!s_info_name(D23)</f>
        <v>贝壳</v>
      </c>
      <c r="D23" s="106" t="s">
        <v>174</v>
      </c>
      <c r="E23" s="21">
        <v>110.508758</v>
      </c>
      <c r="F23" s="94">
        <v>11340.46</v>
      </c>
      <c r="G23" s="93">
        <v>108</v>
      </c>
      <c r="H23" s="2">
        <f t="shared" si="0"/>
        <v>11934.945863999999</v>
      </c>
      <c r="I23" s="21">
        <v>109.291348</v>
      </c>
      <c r="J23" s="94">
        <v>11675.44</v>
      </c>
      <c r="K23" s="93">
        <v>108</v>
      </c>
      <c r="M23" s="21">
        <v>111.465345</v>
      </c>
      <c r="N23" s="94">
        <v>11934.95</v>
      </c>
      <c r="O23" s="93">
        <v>108</v>
      </c>
      <c r="Q23" s="21">
        <v>105.18667499999999</v>
      </c>
      <c r="R23" s="94">
        <v>11803.47</v>
      </c>
      <c r="S23" s="93">
        <v>108</v>
      </c>
      <c r="U23" s="21">
        <v>105.56544</v>
      </c>
      <c r="V23" s="94">
        <v>12038.26</v>
      </c>
      <c r="W23" s="93">
        <v>108</v>
      </c>
      <c r="Y23" s="21">
        <v>105.55063999999999</v>
      </c>
      <c r="Z23" s="110">
        <v>11360.16</v>
      </c>
      <c r="AA23" s="114">
        <v>108</v>
      </c>
    </row>
    <row r="24" spans="3:27" x14ac:dyDescent="0.25">
      <c r="C24" s="106" t="str">
        <f>[1]!s_info_name(D24)</f>
        <v>BOSS直聘</v>
      </c>
      <c r="D24" s="106" t="s">
        <v>231</v>
      </c>
      <c r="E24" s="21">
        <v>133.837592</v>
      </c>
      <c r="F24" s="94">
        <v>8363.6299999999992</v>
      </c>
      <c r="G24" s="93">
        <v>65</v>
      </c>
      <c r="H24" s="2">
        <f t="shared" si="0"/>
        <v>8699.4434799999999</v>
      </c>
      <c r="I24" s="21">
        <v>135.25874400000001</v>
      </c>
      <c r="J24" s="94">
        <v>8561.1200000000008</v>
      </c>
      <c r="K24" s="93">
        <v>65</v>
      </c>
      <c r="M24" s="21">
        <v>136.14033499999999</v>
      </c>
      <c r="N24" s="94">
        <v>8699.44</v>
      </c>
      <c r="O24" s="93">
        <v>65</v>
      </c>
      <c r="Q24" s="21">
        <v>126.152697</v>
      </c>
      <c r="R24" s="94">
        <v>8791.82</v>
      </c>
      <c r="S24" s="93">
        <v>65</v>
      </c>
      <c r="U24" s="21">
        <v>122.755488</v>
      </c>
      <c r="V24" s="94">
        <v>8849.1200000000008</v>
      </c>
      <c r="W24" s="93">
        <v>65</v>
      </c>
      <c r="Y24" s="21">
        <v>122.73827799999999</v>
      </c>
      <c r="Z24" s="110">
        <v>8199.93</v>
      </c>
      <c r="AA24" s="114">
        <v>65</v>
      </c>
    </row>
    <row r="25" spans="3:27" x14ac:dyDescent="0.25">
      <c r="C25" s="106" t="str">
        <f>[1]!s_info_name(D25)</f>
        <v>爱奇艺</v>
      </c>
      <c r="D25" s="106" t="s">
        <v>29</v>
      </c>
      <c r="E25" s="21">
        <v>27.966063999999999</v>
      </c>
      <c r="F25" s="94">
        <v>1223.1300000000001</v>
      </c>
      <c r="G25" s="93">
        <v>46</v>
      </c>
      <c r="H25" s="2">
        <f t="shared" si="0"/>
        <v>1286.438944</v>
      </c>
      <c r="I25" s="21">
        <v>29.106311999999999</v>
      </c>
      <c r="J25" s="94">
        <v>1256.3399999999999</v>
      </c>
      <c r="K25" s="93">
        <v>46</v>
      </c>
      <c r="M25" s="21">
        <v>28.526</v>
      </c>
      <c r="N25" s="94">
        <v>1286.44</v>
      </c>
      <c r="O25" s="93">
        <v>46</v>
      </c>
      <c r="Q25" s="21">
        <v>27.027626999999999</v>
      </c>
      <c r="R25" s="94">
        <v>1338.89</v>
      </c>
      <c r="S25" s="93">
        <v>46</v>
      </c>
      <c r="U25" s="21">
        <v>26.747999999999998</v>
      </c>
      <c r="V25" s="94">
        <v>1312.2</v>
      </c>
      <c r="W25" s="93">
        <v>46</v>
      </c>
      <c r="Y25" s="21">
        <v>26.744249999999997</v>
      </c>
      <c r="Z25" s="110">
        <v>1243.27</v>
      </c>
      <c r="AA25" s="114">
        <v>46</v>
      </c>
    </row>
    <row r="26" spans="3:27" x14ac:dyDescent="0.25">
      <c r="C26" s="106" t="str">
        <f>[1]!s_info_name(D26)</f>
        <v>陆金所控股</v>
      </c>
      <c r="D26" s="106" t="s">
        <v>180</v>
      </c>
      <c r="E26" s="21">
        <v>20.475154</v>
      </c>
      <c r="F26" s="94">
        <v>615.63</v>
      </c>
      <c r="G26" s="93">
        <v>34</v>
      </c>
      <c r="H26" s="2">
        <f t="shared" si="0"/>
        <v>696.15523599999995</v>
      </c>
      <c r="I26" s="21">
        <v>21.045005</v>
      </c>
      <c r="J26" s="94">
        <v>720.09</v>
      </c>
      <c r="K26" s="93">
        <v>34</v>
      </c>
      <c r="M26" s="21">
        <v>21.037925000000001</v>
      </c>
      <c r="N26" s="94">
        <v>696.16</v>
      </c>
      <c r="O26" s="93">
        <v>34</v>
      </c>
      <c r="Q26" s="21">
        <v>20.538143999999999</v>
      </c>
      <c r="R26" s="94">
        <v>715.53</v>
      </c>
      <c r="S26" s="93">
        <v>34</v>
      </c>
      <c r="U26" s="21">
        <v>20.185824</v>
      </c>
      <c r="V26" s="94">
        <v>715.29</v>
      </c>
      <c r="W26" s="93">
        <v>34</v>
      </c>
      <c r="Y26" s="21">
        <v>20.182993999999997</v>
      </c>
      <c r="Z26" s="110">
        <v>698.3</v>
      </c>
      <c r="AA26" s="114">
        <v>34</v>
      </c>
    </row>
    <row r="27" spans="3:27" x14ac:dyDescent="0.25">
      <c r="C27" s="106" t="str">
        <f>[1]!s_info_name(D27)</f>
        <v>拼多多</v>
      </c>
      <c r="D27" s="106" t="s">
        <v>150</v>
      </c>
      <c r="E27" s="21">
        <v>985.01899399999991</v>
      </c>
      <c r="F27" s="94">
        <v>117129.74</v>
      </c>
      <c r="G27" s="93">
        <v>122</v>
      </c>
      <c r="H27" s="2">
        <f t="shared" si="0"/>
        <v>120172.31726799998</v>
      </c>
      <c r="I27" s="21">
        <v>993.32423600000004</v>
      </c>
      <c r="J27" s="94">
        <v>119813.92</v>
      </c>
      <c r="K27" s="93">
        <v>122</v>
      </c>
      <c r="M27" s="21">
        <v>1015.6682299999999</v>
      </c>
      <c r="N27" s="94">
        <v>120172.32</v>
      </c>
      <c r="O27" s="93">
        <v>122</v>
      </c>
      <c r="Q27" s="21">
        <v>984.04808700000001</v>
      </c>
      <c r="R27" s="94">
        <v>121185.56</v>
      </c>
      <c r="S27" s="93">
        <v>122</v>
      </c>
      <c r="U27" s="21">
        <v>968.91955199999995</v>
      </c>
      <c r="V27" s="94">
        <v>123911.52</v>
      </c>
      <c r="W27" s="93">
        <v>122</v>
      </c>
      <c r="Y27" s="21">
        <v>968.78371199999992</v>
      </c>
      <c r="Z27" s="110">
        <v>120053.87</v>
      </c>
      <c r="AA27" s="114">
        <v>122</v>
      </c>
    </row>
    <row r="28" spans="3:27" x14ac:dyDescent="0.25">
      <c r="C28" s="106" t="str">
        <f>[1]!s_info_name(D28)</f>
        <v>奇富科技</v>
      </c>
      <c r="D28" s="106" t="s">
        <v>192</v>
      </c>
      <c r="E28" s="21">
        <v>143.611446</v>
      </c>
      <c r="F28" s="94">
        <v>3164.39</v>
      </c>
      <c r="G28" s="93">
        <v>23</v>
      </c>
      <c r="H28" s="2">
        <f t="shared" si="0"/>
        <v>3303.0632580000001</v>
      </c>
      <c r="I28" s="21">
        <v>143.96210199999999</v>
      </c>
      <c r="J28" s="94">
        <v>3240.9</v>
      </c>
      <c r="K28" s="93">
        <v>23</v>
      </c>
      <c r="M28" s="21">
        <v>145.83917499999998</v>
      </c>
      <c r="N28" s="94">
        <v>3303.06</v>
      </c>
      <c r="O28" s="93">
        <v>23</v>
      </c>
      <c r="Q28" s="21">
        <v>140.98580099999998</v>
      </c>
      <c r="R28" s="94">
        <v>3311.13</v>
      </c>
      <c r="S28" s="93">
        <v>23</v>
      </c>
      <c r="U28" s="21">
        <v>141.65740799999998</v>
      </c>
      <c r="V28" s="94">
        <v>3354.3</v>
      </c>
      <c r="W28" s="93">
        <v>23</v>
      </c>
      <c r="Y28" s="21">
        <v>141.63754799999998</v>
      </c>
      <c r="Z28" s="110">
        <v>3242.67</v>
      </c>
      <c r="AA28" s="114">
        <v>23</v>
      </c>
    </row>
    <row r="29" spans="3:27" x14ac:dyDescent="0.25">
      <c r="C29" s="106" t="str">
        <f>[1]!s_info_name(D29)</f>
        <v>好未来</v>
      </c>
      <c r="D29" s="106" t="s">
        <v>22</v>
      </c>
      <c r="E29" s="21">
        <v>74.623732000000004</v>
      </c>
      <c r="F29" s="94">
        <v>5624.47</v>
      </c>
      <c r="G29" s="93">
        <v>75</v>
      </c>
      <c r="H29" s="2">
        <f t="shared" si="0"/>
        <v>5596.7799000000005</v>
      </c>
      <c r="I29" s="21">
        <v>76.190051999999994</v>
      </c>
      <c r="J29" s="94">
        <v>5717.28</v>
      </c>
      <c r="K29" s="93">
        <v>75</v>
      </c>
      <c r="M29" s="21">
        <v>77.091515000000001</v>
      </c>
      <c r="N29" s="94">
        <v>5596.78</v>
      </c>
      <c r="O29" s="93">
        <v>75</v>
      </c>
      <c r="Q29" s="21">
        <v>72.382694999999998</v>
      </c>
      <c r="R29" s="94">
        <v>5714.25</v>
      </c>
      <c r="S29" s="93">
        <v>75</v>
      </c>
      <c r="U29" s="21">
        <v>71.328000000000003</v>
      </c>
      <c r="V29" s="94">
        <v>5781.86</v>
      </c>
      <c r="W29" s="93">
        <v>75</v>
      </c>
      <c r="Y29" s="21">
        <v>71.317999999999998</v>
      </c>
      <c r="Z29" s="110">
        <v>5428.7</v>
      </c>
      <c r="AA29" s="114">
        <v>75</v>
      </c>
    </row>
    <row r="30" spans="3:27" x14ac:dyDescent="0.25">
      <c r="C30" s="106" t="str">
        <f>[1]!s_info_name(D30)</f>
        <v>腾讯音乐</v>
      </c>
      <c r="D30" s="106" t="s">
        <v>153</v>
      </c>
      <c r="E30" s="21">
        <v>107.441052</v>
      </c>
      <c r="F30" s="94">
        <v>10343.6</v>
      </c>
      <c r="G30" s="93">
        <v>100</v>
      </c>
      <c r="H30" s="2">
        <f t="shared" si="0"/>
        <v>10744.1052</v>
      </c>
      <c r="I30" s="21">
        <v>106.86582199999999</v>
      </c>
      <c r="J30" s="94">
        <v>10889.04</v>
      </c>
      <c r="K30" s="93">
        <v>100</v>
      </c>
      <c r="M30" s="21">
        <v>107.89959500000001</v>
      </c>
      <c r="N30" s="94">
        <v>10744.11</v>
      </c>
      <c r="O30" s="93">
        <v>100</v>
      </c>
      <c r="Q30" s="21">
        <v>105.97111799999999</v>
      </c>
      <c r="R30" s="94">
        <v>10686.58</v>
      </c>
      <c r="S30" s="93">
        <v>100</v>
      </c>
      <c r="U30" s="21">
        <v>107.919264</v>
      </c>
      <c r="V30" s="94">
        <v>10789.96</v>
      </c>
      <c r="W30" s="93">
        <v>100</v>
      </c>
      <c r="Y30" s="21">
        <v>107.904134</v>
      </c>
      <c r="Z30" s="110">
        <v>10597.11</v>
      </c>
      <c r="AA30" s="114">
        <v>100</v>
      </c>
    </row>
    <row r="31" spans="3:27" x14ac:dyDescent="0.25">
      <c r="C31" s="106" t="str">
        <f>[1]!s_info_name(D31)</f>
        <v>唯品会</v>
      </c>
      <c r="D31" s="106" t="s">
        <v>24</v>
      </c>
      <c r="E31" s="21">
        <v>95.526938000000001</v>
      </c>
      <c r="F31" s="94">
        <v>5249.5</v>
      </c>
      <c r="G31" s="93">
        <v>56</v>
      </c>
      <c r="H31" s="2">
        <f t="shared" si="0"/>
        <v>5349.5085280000003</v>
      </c>
      <c r="I31" s="21">
        <v>101.586736</v>
      </c>
      <c r="J31" s="94">
        <v>5359.09</v>
      </c>
      <c r="K31" s="93">
        <v>56</v>
      </c>
      <c r="M31" s="21">
        <v>100.62546499999999</v>
      </c>
      <c r="N31" s="94">
        <v>5349.51</v>
      </c>
      <c r="O31" s="93">
        <v>56</v>
      </c>
      <c r="Q31" s="21">
        <v>97.627496999999991</v>
      </c>
      <c r="R31" s="94">
        <v>5688.86</v>
      </c>
      <c r="S31" s="93">
        <v>56</v>
      </c>
      <c r="U31" s="21">
        <v>97.576703999999992</v>
      </c>
      <c r="V31" s="94">
        <v>5635.03</v>
      </c>
      <c r="W31" s="93">
        <v>56</v>
      </c>
      <c r="Y31" s="21">
        <v>97.563023999999984</v>
      </c>
      <c r="Z31" s="110">
        <v>5467.14</v>
      </c>
      <c r="AA31" s="114">
        <v>56</v>
      </c>
    </row>
    <row r="32" spans="3:27" x14ac:dyDescent="0.25">
      <c r="C32" s="106" t="str">
        <f>[1]!s_info_name(D32)</f>
        <v>微博</v>
      </c>
      <c r="D32" s="106" t="s">
        <v>26</v>
      </c>
      <c r="E32" s="21">
        <v>59.285202000000005</v>
      </c>
      <c r="F32" s="94">
        <v>805.39</v>
      </c>
      <c r="G32" s="93">
        <v>14</v>
      </c>
      <c r="H32" s="2">
        <f t="shared" si="0"/>
        <v>829.99282800000003</v>
      </c>
      <c r="I32" s="21">
        <v>61.280200999999998</v>
      </c>
      <c r="J32" s="94">
        <v>825.63</v>
      </c>
      <c r="K32" s="93">
        <v>14</v>
      </c>
      <c r="M32" s="21">
        <v>60.617750000000001</v>
      </c>
      <c r="N32" s="94">
        <v>829.99</v>
      </c>
      <c r="O32" s="93">
        <v>14</v>
      </c>
      <c r="Q32" s="21">
        <v>57.620903999999996</v>
      </c>
      <c r="R32" s="94">
        <v>857.92</v>
      </c>
      <c r="S32" s="93">
        <v>14</v>
      </c>
      <c r="U32" s="21">
        <v>58.774271999999996</v>
      </c>
      <c r="V32" s="94">
        <v>848.65</v>
      </c>
      <c r="W32" s="93">
        <v>14</v>
      </c>
      <c r="Y32" s="21">
        <v>58.766031999999996</v>
      </c>
      <c r="Z32" s="110">
        <v>806.69</v>
      </c>
      <c r="AA32" s="114">
        <v>14</v>
      </c>
    </row>
    <row r="33" spans="1:27" x14ac:dyDescent="0.25">
      <c r="C33" s="106" t="str">
        <f>[1]!s_info_name(D33)</f>
        <v>满帮集团</v>
      </c>
      <c r="D33" s="106" t="s">
        <v>193</v>
      </c>
      <c r="E33" s="21">
        <v>58.143730000000005</v>
      </c>
      <c r="F33" s="94">
        <v>8769.0300000000007</v>
      </c>
      <c r="G33" s="93">
        <v>153</v>
      </c>
      <c r="H33" s="2">
        <f t="shared" si="0"/>
        <v>8895.9906900000005</v>
      </c>
      <c r="I33" s="21">
        <v>59.425387000000001</v>
      </c>
      <c r="J33" s="94">
        <v>8957.4599999999991</v>
      </c>
      <c r="K33" s="93">
        <v>153</v>
      </c>
      <c r="M33" s="21">
        <v>58.834874999999997</v>
      </c>
      <c r="N33" s="94">
        <v>8895.99</v>
      </c>
      <c r="O33" s="93">
        <v>153</v>
      </c>
      <c r="Q33" s="21">
        <v>57.834842999999992</v>
      </c>
      <c r="R33" s="94">
        <v>9092.08</v>
      </c>
      <c r="S33" s="93">
        <v>153</v>
      </c>
      <c r="U33" s="21">
        <v>57.133727999999998</v>
      </c>
      <c r="V33" s="94">
        <v>9001.74</v>
      </c>
      <c r="W33" s="93">
        <v>153</v>
      </c>
      <c r="Y33" s="21">
        <v>57.125717999999992</v>
      </c>
      <c r="Z33" s="110">
        <v>8848.73</v>
      </c>
      <c r="AA33" s="114">
        <v>153</v>
      </c>
    </row>
    <row r="34" spans="1:27" x14ac:dyDescent="0.25">
      <c r="C34" s="106" t="str">
        <f>[1]!s_info_name(D34)</f>
        <v>欢聚</v>
      </c>
      <c r="D34" s="106" t="s">
        <v>28</v>
      </c>
      <c r="E34" s="21">
        <v>245.34513799999999</v>
      </c>
      <c r="F34" s="94">
        <v>1182.6300000000001</v>
      </c>
      <c r="G34" s="93">
        <v>5</v>
      </c>
      <c r="H34" s="2">
        <f t="shared" si="0"/>
        <v>1226.72569</v>
      </c>
      <c r="I34" s="21">
        <v>242.26724400000001</v>
      </c>
      <c r="J34" s="94">
        <v>1245.43</v>
      </c>
      <c r="K34" s="93">
        <v>5</v>
      </c>
      <c r="M34" s="21">
        <v>247.32041999999998</v>
      </c>
      <c r="N34" s="94">
        <v>1226.73</v>
      </c>
      <c r="O34" s="93">
        <v>5</v>
      </c>
      <c r="Q34" s="21">
        <v>243.89045999999999</v>
      </c>
      <c r="R34" s="94">
        <v>1211.3399999999999</v>
      </c>
      <c r="S34" s="93">
        <v>5</v>
      </c>
      <c r="U34" s="21">
        <v>244.441056</v>
      </c>
      <c r="V34" s="94">
        <v>1236.5999999999999</v>
      </c>
      <c r="W34" s="93">
        <v>5</v>
      </c>
      <c r="Y34" s="21">
        <v>244.40678599999998</v>
      </c>
      <c r="Z34" s="110">
        <v>1219.45</v>
      </c>
      <c r="AA34" s="114">
        <v>5</v>
      </c>
    </row>
    <row r="36" spans="1:27" ht="13" x14ac:dyDescent="0.25">
      <c r="A36" s="99" t="s">
        <v>354</v>
      </c>
      <c r="E36" s="2">
        <f>SUMPRODUCT(E2:E34,G2:G34)</f>
        <v>1022948.0401254999</v>
      </c>
      <c r="I36" s="2">
        <f>SUMPRODUCT(I2:I34,K2:K34)</f>
        <v>1042703.7414610001</v>
      </c>
      <c r="M36" s="2">
        <f>SUMPRODUCT(M2:M34,O2:O34)</f>
        <v>1073864.976541</v>
      </c>
      <c r="Q36" s="2">
        <f>SUMPRODUCT(Q2:Q34,S2:S34)</f>
        <v>1047780.6500491002</v>
      </c>
      <c r="U36" s="2">
        <f>SUMPRODUCT(U2:U34,W2:W34)</f>
        <v>1026783.9679656</v>
      </c>
      <c r="Y36" s="2">
        <f>SUMPRODUCT(Y2:Y34,AA2:AA34)</f>
        <v>1026666.1354986</v>
      </c>
    </row>
    <row r="38" spans="1:27" ht="13" x14ac:dyDescent="0.25">
      <c r="A38" s="1" t="s">
        <v>355</v>
      </c>
      <c r="E38" s="115">
        <f>[1]!f_nav_unit("513050.SH",E1)</f>
        <v>1.0226999999999999</v>
      </c>
      <c r="I38" s="115">
        <f>[1]!f_nav_unit("513050.SH",I1)</f>
        <v>1.0425</v>
      </c>
      <c r="M38" s="115">
        <f>[1]!f_nav_unit("513050.SH",M1)</f>
        <v>1.0737000000000001</v>
      </c>
    </row>
  </sheetData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55316C-6EF8-4A8F-BFFA-D257F39A9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监控界面</vt:lpstr>
      <vt:lpstr>交易监控表</vt:lpstr>
      <vt:lpstr>7.15 513050</vt:lpstr>
      <vt:lpstr>7.16 513050</vt:lpstr>
      <vt:lpstr>7.17 513050</vt:lpstr>
      <vt:lpstr>7.12 513050</vt:lpstr>
      <vt:lpstr>7.10 513050</vt:lpstr>
      <vt:lpstr>纳指ETF折溢价</vt:lpstr>
      <vt:lpstr>广发中概折溢价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2024-07-17T09:11:22Z</dcterms:modified>
</cp:coreProperties>
</file>