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9927\Desktop\internship\宁聚投资\2. ETF实时溢价套利\"/>
    </mc:Choice>
  </mc:AlternateContent>
  <xr:revisionPtr revIDLastSave="0" documentId="13_ncr:1_{EF58722D-2771-41EC-9842-445542F32CD1}" xr6:coauthVersionLast="47" xr6:coauthVersionMax="47" xr10:uidLastSave="{00000000-0000-0000-0000-000000000000}"/>
  <bookViews>
    <workbookView xWindow="-110" yWindow="-110" windowWidth="25820" windowHeight="15500" tabRatio="629" firstSheet="2" activeTab="2" xr2:uid="{00000000-000D-0000-FFFF-FFFF00000000}"/>
  </bookViews>
  <sheets>
    <sheet name="监控界面" sheetId="26" state="hidden" r:id="rId1"/>
    <sheet name="交易监控表" sheetId="14" state="hidden" r:id="rId2"/>
    <sheet name="中概互联实时折溢价" sheetId="6" r:id="rId3"/>
    <sheet name="纳指ETF折溢价" sheetId="4" r:id="rId4"/>
    <sheet name="广发中概折溢价" sheetId="27" state="hidden" r:id="rId5"/>
  </sheets>
  <externalReferences>
    <externalReference r:id="rId6"/>
    <externalReference r:id="rId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W30" i="6" l="1"/>
  <c r="AV30" i="6"/>
  <c r="AU30" i="6"/>
  <c r="AT30" i="6"/>
  <c r="AS30" i="6"/>
  <c r="AR30" i="6"/>
  <c r="AQ30" i="6"/>
  <c r="AP30" i="6"/>
  <c r="AO30" i="6"/>
  <c r="AN30" i="6"/>
  <c r="T3" i="6" l="1"/>
  <c r="AB9" i="6"/>
  <c r="AC9" i="6" s="1"/>
  <c r="R3" i="6"/>
  <c r="AO12" i="6"/>
  <c r="AP10" i="6"/>
  <c r="AQ10" i="6"/>
  <c r="AR10" i="6"/>
  <c r="AS10" i="6"/>
  <c r="AT10" i="6"/>
  <c r="AU10" i="6"/>
  <c r="AV10" i="6"/>
  <c r="AW10" i="6"/>
  <c r="AX10" i="6"/>
  <c r="AO10" i="6"/>
  <c r="V3" i="6"/>
  <c r="O6" i="6"/>
  <c r="AP45" i="6"/>
  <c r="AF29" i="6"/>
  <c r="R48" i="6"/>
  <c r="AD36" i="6"/>
  <c r="AD33" i="6"/>
  <c r="AD37" i="6"/>
  <c r="AD35" i="6"/>
  <c r="AD30" i="6"/>
  <c r="AD40" i="6"/>
  <c r="AD34" i="6"/>
  <c r="AD41" i="6"/>
  <c r="AD29" i="6"/>
  <c r="AD31" i="6"/>
  <c r="AD32" i="6"/>
  <c r="AD38" i="6"/>
  <c r="AD39" i="6"/>
  <c r="AG7" i="6" l="1"/>
  <c r="W61" i="6"/>
  <c r="V6" i="6"/>
  <c r="AF7" i="6"/>
  <c r="AE7" i="6"/>
  <c r="AB6" i="6"/>
  <c r="AN28" i="6"/>
  <c r="V8" i="6"/>
  <c r="AX28" i="6"/>
  <c r="AP33" i="6" s="1"/>
  <c r="AP28" i="6"/>
  <c r="AW28" i="6"/>
  <c r="AV28" i="6"/>
  <c r="AU28" i="6"/>
  <c r="AT28" i="6"/>
  <c r="AO28" i="6"/>
  <c r="AQ28" i="6"/>
  <c r="AR28" i="6"/>
  <c r="AS28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7" i="6"/>
  <c r="AI7" i="6"/>
  <c r="AJ7" i="6"/>
  <c r="AK7" i="6"/>
  <c r="I6" i="6"/>
  <c r="U3" i="6" s="1"/>
  <c r="U6" i="6" s="1"/>
  <c r="G9" i="26"/>
  <c r="G6" i="26"/>
  <c r="G4" i="26"/>
  <c r="G2" i="26"/>
  <c r="G3" i="26"/>
  <c r="C2" i="26"/>
  <c r="B2" i="26"/>
  <c r="J45" i="4"/>
  <c r="J82" i="4"/>
  <c r="J24" i="4"/>
  <c r="J85" i="4"/>
  <c r="J51" i="4"/>
  <c r="J16" i="4"/>
  <c r="J31" i="4"/>
  <c r="I91" i="4"/>
  <c r="I21" i="4"/>
  <c r="I58" i="4"/>
  <c r="I95" i="4"/>
  <c r="I49" i="4"/>
  <c r="I98" i="4"/>
  <c r="I52" i="4"/>
  <c r="I101" i="4"/>
  <c r="J57" i="4"/>
  <c r="J94" i="4"/>
  <c r="J36" i="4"/>
  <c r="J97" i="4"/>
  <c r="J63" i="4"/>
  <c r="J101" i="4"/>
  <c r="J52" i="4"/>
  <c r="J55" i="4"/>
  <c r="I103" i="4"/>
  <c r="I70" i="4"/>
  <c r="I61" i="4"/>
  <c r="I64" i="4"/>
  <c r="J106" i="4"/>
  <c r="J30" i="4"/>
  <c r="I45" i="4"/>
  <c r="I24" i="4"/>
  <c r="J84" i="4"/>
  <c r="J90" i="4"/>
  <c r="I81" i="4"/>
  <c r="J96" i="4"/>
  <c r="I93" i="4"/>
  <c r="J59" i="4"/>
  <c r="J64" i="4"/>
  <c r="J43" i="4"/>
  <c r="I68" i="4"/>
  <c r="I35" i="4"/>
  <c r="I41" i="4"/>
  <c r="J37" i="4"/>
  <c r="I43" i="4"/>
  <c r="I99" i="4"/>
  <c r="J29" i="4"/>
  <c r="J53" i="4"/>
  <c r="I46" i="4"/>
  <c r="I89" i="4"/>
  <c r="J20" i="4"/>
  <c r="I33" i="4"/>
  <c r="I18" i="4"/>
  <c r="J32" i="4"/>
  <c r="J48" i="4"/>
  <c r="I82" i="4"/>
  <c r="I27" i="4"/>
  <c r="I30" i="4"/>
  <c r="J35" i="4"/>
  <c r="J28" i="4"/>
  <c r="I44" i="4"/>
  <c r="I66" i="4"/>
  <c r="J62" i="4"/>
  <c r="I56" i="4"/>
  <c r="J22" i="4"/>
  <c r="J18" i="4"/>
  <c r="I105" i="4"/>
  <c r="I38" i="4"/>
  <c r="J42" i="4"/>
  <c r="I47" i="4"/>
  <c r="I102" i="4"/>
  <c r="J102" i="4"/>
  <c r="I28" i="4"/>
  <c r="J27" i="4"/>
  <c r="I37" i="4"/>
  <c r="J69" i="4"/>
  <c r="J50" i="4"/>
  <c r="I60" i="4"/>
  <c r="I23" i="4"/>
  <c r="I87" i="4"/>
  <c r="J95" i="4"/>
  <c r="I34" i="4"/>
  <c r="I86" i="4"/>
  <c r="J44" i="4"/>
  <c r="J81" i="4"/>
  <c r="J60" i="4"/>
  <c r="J26" i="4"/>
  <c r="J87" i="4"/>
  <c r="J54" i="4"/>
  <c r="J17" i="4"/>
  <c r="J103" i="4"/>
  <c r="I20" i="4"/>
  <c r="I57" i="4"/>
  <c r="I94" i="4"/>
  <c r="I36" i="4"/>
  <c r="I85" i="4"/>
  <c r="I39" i="4"/>
  <c r="I88" i="4"/>
  <c r="I42" i="4"/>
  <c r="J56" i="4"/>
  <c r="J23" i="4"/>
  <c r="J38" i="4"/>
  <c r="J99" i="4"/>
  <c r="J66" i="4"/>
  <c r="J41" i="4"/>
  <c r="I32" i="4"/>
  <c r="I69" i="4"/>
  <c r="I106" i="4"/>
  <c r="I48" i="4"/>
  <c r="I97" i="4"/>
  <c r="I51" i="4"/>
  <c r="I100" i="4"/>
  <c r="I54" i="4"/>
  <c r="I17" i="4"/>
  <c r="J40" i="4"/>
  <c r="I19" i="4"/>
  <c r="I29" i="4"/>
  <c r="J92" i="4"/>
  <c r="J25" i="4"/>
  <c r="I31" i="4"/>
  <c r="I84" i="4"/>
  <c r="J34" i="4"/>
  <c r="J67" i="4"/>
  <c r="I53" i="4"/>
  <c r="I104" i="4"/>
  <c r="J93" i="4"/>
  <c r="J105" i="4"/>
  <c r="J65" i="4"/>
  <c r="I63" i="4"/>
  <c r="J89" i="4"/>
  <c r="I96" i="4"/>
  <c r="J21" i="4"/>
  <c r="I25" i="4"/>
  <c r="J33" i="4"/>
  <c r="J70" i="4"/>
  <c r="J19" i="4"/>
  <c r="I83" i="4"/>
  <c r="J68" i="4"/>
  <c r="J80" i="4"/>
  <c r="J47" i="4"/>
  <c r="I26" i="4"/>
  <c r="I90" i="4"/>
  <c r="J104" i="4"/>
  <c r="J86" i="4"/>
  <c r="J88" i="4"/>
  <c r="I80" i="4"/>
  <c r="I50" i="4"/>
  <c r="J58" i="4"/>
  <c r="J61" i="4"/>
  <c r="I67" i="4"/>
  <c r="J46" i="4"/>
  <c r="J83" i="4"/>
  <c r="J49" i="4"/>
  <c r="J98" i="4"/>
  <c r="J100" i="4"/>
  <c r="J91" i="4"/>
  <c r="I55" i="4"/>
  <c r="I92" i="4"/>
  <c r="I22" i="4"/>
  <c r="I59" i="4"/>
  <c r="I62" i="4"/>
  <c r="I16" i="4"/>
  <c r="I65" i="4"/>
  <c r="J39" i="4"/>
  <c r="I40" i="4"/>
  <c r="M24" i="6"/>
  <c r="M37" i="6"/>
  <c r="M28" i="6"/>
  <c r="D4" i="14"/>
  <c r="M31" i="6"/>
  <c r="M22" i="6"/>
  <c r="AN45" i="6"/>
  <c r="M38" i="6"/>
  <c r="M30" i="6"/>
  <c r="U46" i="6"/>
  <c r="E4" i="14"/>
  <c r="M17" i="6"/>
  <c r="D3" i="14"/>
  <c r="M19" i="6"/>
  <c r="AN46" i="6"/>
  <c r="I6" i="4"/>
  <c r="M9" i="6"/>
  <c r="A6" i="4"/>
  <c r="S46" i="6"/>
  <c r="T46" i="6"/>
  <c r="D5" i="14"/>
  <c r="AN47" i="6"/>
  <c r="M35" i="6"/>
  <c r="M32" i="6"/>
  <c r="E3" i="14"/>
  <c r="J6" i="4"/>
  <c r="M14" i="6"/>
  <c r="M11" i="6"/>
  <c r="M27" i="6"/>
  <c r="R46" i="6"/>
  <c r="M20" i="6"/>
  <c r="M34" i="6"/>
  <c r="M23" i="6"/>
  <c r="M6" i="6"/>
  <c r="M12" i="6"/>
  <c r="AN49" i="6"/>
  <c r="A6" i="6"/>
  <c r="M8" i="6"/>
  <c r="AN48" i="6"/>
  <c r="M18" i="6"/>
  <c r="V46" i="6"/>
  <c r="M26" i="6"/>
  <c r="M10" i="6"/>
  <c r="M29" i="6"/>
  <c r="M16" i="6"/>
  <c r="M25" i="6"/>
  <c r="E5" i="14"/>
  <c r="M13" i="6"/>
  <c r="M33" i="6"/>
  <c r="M21" i="6"/>
  <c r="M36" i="6"/>
  <c r="M7" i="6"/>
  <c r="M15" i="6"/>
  <c r="AS33" i="6" l="1"/>
  <c r="AT33" i="6"/>
  <c r="AR33" i="6"/>
  <c r="AQ33" i="6"/>
  <c r="AO33" i="6"/>
  <c r="AN33" i="6"/>
  <c r="AW33" i="6"/>
  <c r="AV33" i="6"/>
  <c r="AU33" i="6"/>
  <c r="AP29" i="6"/>
  <c r="AV29" i="6"/>
  <c r="AV31" i="6" s="1"/>
  <c r="AS29" i="6"/>
  <c r="AS31" i="6" s="1"/>
  <c r="AW29" i="6"/>
  <c r="AW31" i="6" s="1"/>
  <c r="AU29" i="6"/>
  <c r="AU31" i="6" s="1"/>
  <c r="AT29" i="6"/>
  <c r="AT31" i="6" s="1"/>
  <c r="AR29" i="6"/>
  <c r="AN29" i="6"/>
  <c r="AQ29" i="6"/>
  <c r="AO29" i="6"/>
  <c r="W9" i="6"/>
  <c r="X9" i="6" s="1"/>
  <c r="W21" i="6"/>
  <c r="X21" i="6" s="1"/>
  <c r="W14" i="6"/>
  <c r="X14" i="6" s="1"/>
  <c r="W10" i="6"/>
  <c r="X10" i="6" s="1"/>
  <c r="W11" i="6"/>
  <c r="X11" i="6" s="1"/>
  <c r="W23" i="6"/>
  <c r="X23" i="6" s="1"/>
  <c r="W12" i="6"/>
  <c r="X12" i="6" s="1"/>
  <c r="W24" i="6"/>
  <c r="X24" i="6" s="1"/>
  <c r="W25" i="6"/>
  <c r="X25" i="6" s="1"/>
  <c r="W15" i="6"/>
  <c r="X15" i="6" s="1"/>
  <c r="W13" i="6"/>
  <c r="X13" i="6" s="1"/>
  <c r="W8" i="6"/>
  <c r="X8" i="6" s="1"/>
  <c r="W6" i="6"/>
  <c r="X6" i="6" s="1"/>
  <c r="W17" i="6"/>
  <c r="X17" i="6" s="1"/>
  <c r="W22" i="6"/>
  <c r="X22" i="6" s="1"/>
  <c r="W18" i="6"/>
  <c r="X18" i="6" s="1"/>
  <c r="W20" i="6"/>
  <c r="X20" i="6" s="1"/>
  <c r="W7" i="6"/>
  <c r="X7" i="6" s="1"/>
  <c r="W19" i="6"/>
  <c r="X19" i="6" s="1"/>
  <c r="W16" i="6"/>
  <c r="X16" i="6" s="1"/>
  <c r="D2" i="14"/>
  <c r="E2" i="14"/>
  <c r="G8" i="26"/>
  <c r="G7" i="26"/>
  <c r="B8" i="26"/>
  <c r="B5" i="26"/>
  <c r="B7" i="26"/>
  <c r="B6" i="26"/>
  <c r="AN31" i="6" l="1"/>
  <c r="W26" i="6"/>
  <c r="X26" i="6" s="1"/>
  <c r="W36" i="6"/>
  <c r="X36" i="6" s="1"/>
  <c r="W27" i="6"/>
  <c r="X27" i="6" s="1"/>
  <c r="AO31" i="6"/>
  <c r="AP31" i="6"/>
  <c r="W32" i="6"/>
  <c r="X32" i="6" s="1"/>
  <c r="AQ31" i="6"/>
  <c r="W34" i="6"/>
  <c r="X34" i="6" s="1"/>
  <c r="AR31" i="6"/>
  <c r="D8" i="26"/>
  <c r="D6" i="26"/>
  <c r="J6" i="26"/>
  <c r="H6" i="26" s="1"/>
  <c r="I6" i="26" s="1"/>
  <c r="J4" i="26"/>
  <c r="H4" i="26" s="1"/>
  <c r="I4" i="26" s="1"/>
  <c r="J3" i="26"/>
  <c r="H3" i="26" s="1"/>
  <c r="I3" i="26" s="1"/>
  <c r="J7" i="26"/>
  <c r="H7" i="26" s="1"/>
  <c r="I7" i="26" s="1"/>
  <c r="J9" i="26"/>
  <c r="H9" i="26" s="1"/>
  <c r="I9" i="26" s="1"/>
  <c r="J5" i="26"/>
  <c r="H5" i="26" s="1"/>
  <c r="I5" i="26" s="1"/>
  <c r="J8" i="26"/>
  <c r="H8" i="26" s="1"/>
  <c r="I8" i="26" s="1"/>
  <c r="AY28" i="6" l="1"/>
  <c r="W28" i="6" s="1"/>
  <c r="C8" i="26"/>
  <c r="C5" i="26"/>
  <c r="C6" i="26"/>
  <c r="J2" i="26"/>
  <c r="W37" i="6" l="1"/>
  <c r="X37" i="6" s="1"/>
  <c r="W38" i="6"/>
  <c r="X38" i="6" s="1"/>
  <c r="W33" i="6"/>
  <c r="X33" i="6" s="1"/>
  <c r="W35" i="6"/>
  <c r="X35" i="6" s="1"/>
  <c r="W29" i="6"/>
  <c r="X29" i="6" s="1"/>
  <c r="W30" i="6"/>
  <c r="X30" i="6" s="1"/>
  <c r="W31" i="6"/>
  <c r="X31" i="6" s="1"/>
  <c r="X28" i="6"/>
  <c r="C7" i="26"/>
  <c r="Y6" i="6" l="1"/>
  <c r="Z6" i="6" s="1"/>
  <c r="AA6" i="6" s="1"/>
  <c r="AC12" i="6" s="1"/>
  <c r="AC6" i="6" l="1"/>
  <c r="AC13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  <author>ACER</author>
    <author>文杰</author>
  </authors>
  <commentList>
    <comment ref="C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O6" authorId="1" shapeId="0" xr:uid="{0918647E-79EC-4633-A3D9-8C2100D64D5C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AO12" authorId="2" shapeId="0" xr:uid="{848B888F-E00A-4885-A502-18B977E0DF36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V26" authorId="2" shapeId="0" xr:uid="{BB2D8BCF-0AB2-447C-8030-2076F61D0718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AF29" authorId="2" shapeId="0" xr:uid="{05C95ACA-CA78-4A61-BB15-B2E61CFF4CF6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Q43" authorId="1" shapeId="0" xr:uid="{74306361-EA7F-453A-BDCC-1DCE5A8E5A56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AP45" authorId="1" shapeId="0" xr:uid="{B3972559-BEED-4954-A32A-D3BE53E5ED3C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R48" authorId="1" shapeId="0" xr:uid="{E82E21E6-5692-4BC8-A76E-58DAFBA29F30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<sst xmlns="http://schemas.openxmlformats.org/spreadsheetml/2006/main" count="671" uniqueCount="419">
  <si>
    <t>数据集名称</t>
  </si>
  <si>
    <t>ETF申赎成分信息</t>
  </si>
  <si>
    <t>日期</t>
  </si>
  <si>
    <t>Wind代码</t>
  </si>
  <si>
    <t>date</t>
  </si>
  <si>
    <t>wind_code</t>
    <phoneticPr fontId="4" type="noConversion"/>
  </si>
  <si>
    <t>sec_name</t>
  </si>
  <si>
    <t>volume</t>
  </si>
  <si>
    <t>cash_substitution_mark</t>
  </si>
  <si>
    <t>cash_substitution_premium_ratio</t>
  </si>
  <si>
    <t>fixed_substitution_amount</t>
  </si>
  <si>
    <t>证券名称</t>
  </si>
  <si>
    <t>数量</t>
  </si>
  <si>
    <t>现金替代标志</t>
  </si>
  <si>
    <t>现金替代溢价比例(%)</t>
  </si>
  <si>
    <t>固定替代金额</t>
  </si>
  <si>
    <t>退补</t>
  </si>
  <si>
    <t>必须</t>
  </si>
  <si>
    <t>3888.HK</t>
  </si>
  <si>
    <t>金山软件</t>
  </si>
  <si>
    <t>ATHM.N</t>
  </si>
  <si>
    <t>汽车之家</t>
  </si>
  <si>
    <t>TAL.N</t>
  </si>
  <si>
    <t>好未来</t>
  </si>
  <si>
    <t>VIPS.N</t>
  </si>
  <si>
    <t>唯品会</t>
  </si>
  <si>
    <t>WB.O</t>
  </si>
  <si>
    <t>微博</t>
  </si>
  <si>
    <t>YY.O</t>
  </si>
  <si>
    <t>IQ.O</t>
  </si>
  <si>
    <t>0772.HK</t>
  </si>
  <si>
    <t>阅文集团</t>
  </si>
  <si>
    <t>wind_code</t>
    <phoneticPr fontId="4" type="noConversion"/>
  </si>
  <si>
    <t>ADBE.O</t>
  </si>
  <si>
    <t>ADI.O</t>
  </si>
  <si>
    <t>亚德诺(ANALOG)</t>
  </si>
  <si>
    <t>ADP.O</t>
  </si>
  <si>
    <t>自动数据处理</t>
  </si>
  <si>
    <t>ADSK.O</t>
  </si>
  <si>
    <t>欧特克(AUTODESK)</t>
  </si>
  <si>
    <t>AMAT.O</t>
  </si>
  <si>
    <t>AMGN.O</t>
  </si>
  <si>
    <t>安进(AMGEN)</t>
  </si>
  <si>
    <t>AMZN.O</t>
  </si>
  <si>
    <t>亚马逊(AMAZON)</t>
  </si>
  <si>
    <t>ASML.O</t>
  </si>
  <si>
    <t>阿斯麦</t>
  </si>
  <si>
    <t>AVGO.O</t>
  </si>
  <si>
    <t>博通(BROADCOM)</t>
  </si>
  <si>
    <t>BIIB.O</t>
  </si>
  <si>
    <t>生物基因(BIOGEN)</t>
  </si>
  <si>
    <t>BKNG.O</t>
  </si>
  <si>
    <t>BOOKING</t>
  </si>
  <si>
    <t>CDNS.O</t>
  </si>
  <si>
    <t>CHTR.O</t>
  </si>
  <si>
    <t>CMCSA.O</t>
  </si>
  <si>
    <t>康卡斯特(COMCAST)</t>
  </si>
  <si>
    <t>COST.O</t>
  </si>
  <si>
    <t>CSCO.O</t>
  </si>
  <si>
    <t>CSX.O</t>
  </si>
  <si>
    <t>CSX运输</t>
  </si>
  <si>
    <t>CTAS.O</t>
  </si>
  <si>
    <t>信达思(CINTAS)</t>
  </si>
  <si>
    <t>CTSH.O</t>
  </si>
  <si>
    <t>DLTR.O</t>
  </si>
  <si>
    <t>美元树(DOLLAR TREE)</t>
  </si>
  <si>
    <t>EA.O</t>
  </si>
  <si>
    <t>FAST.O</t>
  </si>
  <si>
    <t>快扣(FASTENAL)</t>
  </si>
  <si>
    <t>GILD.O</t>
  </si>
  <si>
    <t>GOOG.O</t>
  </si>
  <si>
    <t>GOOGL.O</t>
  </si>
  <si>
    <t>IDXX.O</t>
  </si>
  <si>
    <t>IDEXX实验室</t>
  </si>
  <si>
    <t>ILMN.O</t>
  </si>
  <si>
    <t>ILLUMINA</t>
  </si>
  <si>
    <t>INTC.O</t>
  </si>
  <si>
    <t>英特尔(INTEL)</t>
  </si>
  <si>
    <t>INTU.O</t>
  </si>
  <si>
    <t>ISRG.O</t>
  </si>
  <si>
    <t>KHC.O</t>
  </si>
  <si>
    <t>卡夫亨氏(KRAFT HEINZ)</t>
  </si>
  <si>
    <t>KLAC.O</t>
  </si>
  <si>
    <t>LRCX.O</t>
  </si>
  <si>
    <t>拉姆研究(LAM RESEARCH)</t>
  </si>
  <si>
    <t>MAR.O</t>
  </si>
  <si>
    <t>万豪国际(MARRIOTT INTL)</t>
  </si>
  <si>
    <t>MCHP.O</t>
  </si>
  <si>
    <t>MDLZ.O</t>
  </si>
  <si>
    <t>亿滋国际(MONDELEZ INTL)</t>
  </si>
  <si>
    <t>MELI.O</t>
  </si>
  <si>
    <t>MERCADOLIBRE</t>
  </si>
  <si>
    <t>MNST.O</t>
  </si>
  <si>
    <t>MSFT.O</t>
  </si>
  <si>
    <t>MU.O</t>
  </si>
  <si>
    <t>NFLX.O</t>
  </si>
  <si>
    <t>NVDA.O</t>
  </si>
  <si>
    <t>英伟达(NVIDIA)</t>
  </si>
  <si>
    <t>ORLY.O</t>
  </si>
  <si>
    <t>奥莱利汽车(O REILLY AUTOMOTIVE)</t>
  </si>
  <si>
    <t>PAYX.O</t>
  </si>
  <si>
    <t>PCAR.O</t>
  </si>
  <si>
    <t>PYPL.O</t>
  </si>
  <si>
    <t>QCOM.O</t>
  </si>
  <si>
    <t>REGN.O</t>
  </si>
  <si>
    <t>再生元制药(REGENERON)</t>
  </si>
  <si>
    <t>ROST.O</t>
  </si>
  <si>
    <t>SBUX.O</t>
  </si>
  <si>
    <t>星巴克(STARBUCKS)</t>
  </si>
  <si>
    <t>SNPS.O</t>
  </si>
  <si>
    <t>TMUS.O</t>
  </si>
  <si>
    <t>T-MOBILE US</t>
  </si>
  <si>
    <t>TSLA.O</t>
  </si>
  <si>
    <t>TXN.O</t>
  </si>
  <si>
    <t>VRSK.O</t>
  </si>
  <si>
    <t>VERISK ANALYTICS</t>
  </si>
  <si>
    <t>VRTX.O</t>
  </si>
  <si>
    <t>福泰制药(VERTEX)</t>
  </si>
  <si>
    <t>WBA.O</t>
  </si>
  <si>
    <t>沃尔格林联合博姿</t>
  </si>
  <si>
    <t>WDAY.O</t>
  </si>
  <si>
    <t>WORKDAY</t>
  </si>
  <si>
    <t>美国电力</t>
  </si>
  <si>
    <t>AMD.O</t>
  </si>
  <si>
    <t>超威半导体(AMD)</t>
  </si>
  <si>
    <t>ANSS.O</t>
  </si>
  <si>
    <t>CPRT.O</t>
  </si>
  <si>
    <t>爱克斯龙电力(EXELON)</t>
  </si>
  <si>
    <t>PEP.O</t>
  </si>
  <si>
    <t>XEL.O</t>
  </si>
  <si>
    <t>埃克西尔能源(XCEL ENERGY)</t>
  </si>
  <si>
    <t>513100.OF</t>
    <phoneticPr fontId="1" type="noConversion"/>
  </si>
  <si>
    <t>3690.HK</t>
  </si>
  <si>
    <t>奥多比(ADOBE)</t>
  </si>
  <si>
    <t>513050.SH</t>
    <phoneticPr fontId="1" type="noConversion"/>
  </si>
  <si>
    <t>谷歌(ALPHABET)-C</t>
  </si>
  <si>
    <t>谷歌(ALPHABET)-A</t>
  </si>
  <si>
    <t>当天日期</t>
    <phoneticPr fontId="1" type="noConversion"/>
  </si>
  <si>
    <t>T-1交易日</t>
    <phoneticPr fontId="1" type="noConversion"/>
  </si>
  <si>
    <t>T-2交易日</t>
  </si>
  <si>
    <t>品种</t>
    <phoneticPr fontId="1" type="noConversion"/>
  </si>
  <si>
    <t>中概互联</t>
    <phoneticPr fontId="1" type="noConversion"/>
  </si>
  <si>
    <t>场内折溢价</t>
    <phoneticPr fontId="1" type="noConversion"/>
  </si>
  <si>
    <t>盘口价格</t>
    <phoneticPr fontId="1" type="noConversion"/>
  </si>
  <si>
    <t>513100.SH</t>
    <phoneticPr fontId="1" type="noConversion"/>
  </si>
  <si>
    <t>美元</t>
    <phoneticPr fontId="1" type="noConversion"/>
  </si>
  <si>
    <t>港币</t>
    <phoneticPr fontId="1" type="noConversion"/>
  </si>
  <si>
    <t>实时汇率</t>
    <phoneticPr fontId="1" type="noConversion"/>
  </si>
  <si>
    <t>中间价</t>
    <phoneticPr fontId="1" type="noConversion"/>
  </si>
  <si>
    <t>NXPI.O</t>
  </si>
  <si>
    <t>PDD.O</t>
  </si>
  <si>
    <t>拼多多</t>
  </si>
  <si>
    <t>LULU.O</t>
  </si>
  <si>
    <t>TME.N</t>
  </si>
  <si>
    <t>腾讯音乐</t>
  </si>
  <si>
    <t>腾讯控股</t>
    <phoneticPr fontId="1" type="noConversion"/>
  </si>
  <si>
    <t>美团点评</t>
    <phoneticPr fontId="1" type="noConversion"/>
  </si>
  <si>
    <t>日期(T)</t>
    <phoneticPr fontId="1" type="noConversion"/>
  </si>
  <si>
    <t>0780.HK</t>
  </si>
  <si>
    <t>EXC.O</t>
  </si>
  <si>
    <t>阿里折溢</t>
    <phoneticPr fontId="1" type="noConversion"/>
  </si>
  <si>
    <t>纳指100ETF</t>
    <phoneticPr fontId="1" type="noConversion"/>
  </si>
  <si>
    <t>欢聚</t>
  </si>
  <si>
    <t>DXCM.O</t>
  </si>
  <si>
    <t>0700.HK</t>
  </si>
  <si>
    <t>腾讯控股</t>
  </si>
  <si>
    <t>1833.HK</t>
  </si>
  <si>
    <t>平安好医生</t>
  </si>
  <si>
    <t>京东折溢</t>
    <phoneticPr fontId="1" type="noConversion"/>
  </si>
  <si>
    <t>网易折溢</t>
    <phoneticPr fontId="1" type="noConversion"/>
  </si>
  <si>
    <t>MRNA.O</t>
  </si>
  <si>
    <t>MODERNA</t>
  </si>
  <si>
    <t>1810.HK</t>
  </si>
  <si>
    <t>小米集团-W</t>
  </si>
  <si>
    <t>BEKE.N</t>
  </si>
  <si>
    <t>小米集团</t>
    <phoneticPr fontId="1" type="noConversion"/>
  </si>
  <si>
    <t>AEP.O</t>
  </si>
  <si>
    <t>KDP.O</t>
  </si>
  <si>
    <t>KEURIG DR PEPPER</t>
  </si>
  <si>
    <t>美团-W</t>
  </si>
  <si>
    <t>LU.N</t>
  </si>
  <si>
    <t>6060.HK</t>
  </si>
  <si>
    <t>众安在线</t>
  </si>
  <si>
    <t>6618.HK</t>
  </si>
  <si>
    <t>京东健康</t>
  </si>
  <si>
    <t>MRVL.O</t>
  </si>
  <si>
    <t>迈威尔科技</t>
  </si>
  <si>
    <t>TEAM.O</t>
  </si>
  <si>
    <t>ATLASSIAN</t>
  </si>
  <si>
    <t>1024.HK</t>
  </si>
  <si>
    <t>快手-W</t>
  </si>
  <si>
    <t>百度折溢</t>
    <phoneticPr fontId="1" type="noConversion"/>
  </si>
  <si>
    <t>QFIN.O</t>
  </si>
  <si>
    <t>YMM.N</t>
  </si>
  <si>
    <t>贝壳</t>
  </si>
  <si>
    <t>爱奇艺</t>
  </si>
  <si>
    <t>陆金所控股</t>
  </si>
  <si>
    <t>满帮集团</t>
  </si>
  <si>
    <t>开市客(COSTCO)</t>
  </si>
  <si>
    <t>思科(CISCO)</t>
  </si>
  <si>
    <t>财捷(INTUIT)</t>
  </si>
  <si>
    <t>直觉外科(INTUITIVE)</t>
  </si>
  <si>
    <t>科天半导体(KLA)</t>
  </si>
  <si>
    <t>微芯科技(MICROCHIP)</t>
  </si>
  <si>
    <t>微软(MICROSOFT)</t>
  </si>
  <si>
    <t>奈飞(NETFLIX)</t>
  </si>
  <si>
    <t>沛齐(PAYCHEX)</t>
  </si>
  <si>
    <t>帕卡(PACCAR)</t>
  </si>
  <si>
    <t>百事(PEPSICO)</t>
  </si>
  <si>
    <t>高通(QUALCOMM)</t>
  </si>
  <si>
    <t>罗斯百货(ROSS)</t>
  </si>
  <si>
    <t>CRWD.O</t>
  </si>
  <si>
    <t>CROWDSTRIKE</t>
  </si>
  <si>
    <t>应用材料(APPLIED MATERIAL)</t>
  </si>
  <si>
    <t>安西斯(ANSYS)</t>
  </si>
  <si>
    <t>铿腾电子(CADENCE)</t>
  </si>
  <si>
    <t>特许通讯(CHARTER COMMUNICATIONS)</t>
  </si>
  <si>
    <t>科帕特(COPART)</t>
  </si>
  <si>
    <t>高知特科技(COGNIZANT)</t>
  </si>
  <si>
    <t>德康医疗(DEXCOM)</t>
  </si>
  <si>
    <t>艺电(ELECTRONIC ARTS)</t>
  </si>
  <si>
    <t>吉利德科学(GILEAD SCIENCES)</t>
  </si>
  <si>
    <t>露露乐蒙(LULULEMON)</t>
  </si>
  <si>
    <t>怪物饮料(MONSTER BEVERAGE)</t>
  </si>
  <si>
    <t>美光科技(MICRON TECHNOLOGY)</t>
  </si>
  <si>
    <t>恩智浦半导体(NXP SEMICONDUCTORS)</t>
  </si>
  <si>
    <t>新思科技(SYNOPSYS)</t>
  </si>
  <si>
    <t>特斯拉(TESLA)</t>
  </si>
  <si>
    <t>德州仪器(TEXAS INSTRUMENTS)</t>
  </si>
  <si>
    <t>日期</t>
    <phoneticPr fontId="4" type="noConversion"/>
  </si>
  <si>
    <t>脸书(META PLATFORMS)</t>
  </si>
  <si>
    <t>BZ.O</t>
  </si>
  <si>
    <t>BOSS直聘</t>
  </si>
  <si>
    <t>ABNB.O</t>
  </si>
  <si>
    <t>爱彼迎(AIRBNB)</t>
  </si>
  <si>
    <t>DDOG.O</t>
  </si>
  <si>
    <t>DATADOG</t>
  </si>
  <si>
    <t>FTNT.O</t>
  </si>
  <si>
    <t>飞塔(FORTINET)</t>
  </si>
  <si>
    <t>PANW.O</t>
  </si>
  <si>
    <t>PALO ALTO NETWORKS</t>
  </si>
  <si>
    <t>ZS.O</t>
  </si>
  <si>
    <t>ZSCALER</t>
  </si>
  <si>
    <t>同程旅行</t>
  </si>
  <si>
    <t>HON.O</t>
  </si>
  <si>
    <t>霍尼韦尔国际(HONEYWELL INTERNATIONAL)</t>
  </si>
  <si>
    <t>ODFL.O</t>
  </si>
  <si>
    <t>统领货运线</t>
  </si>
  <si>
    <t>CEG.O</t>
  </si>
  <si>
    <t>CONSTELLATION ENERGY</t>
  </si>
  <si>
    <t>AZN.O</t>
  </si>
  <si>
    <t>阿斯利康(ASTRA ZENECA)</t>
  </si>
  <si>
    <t>META.O</t>
  </si>
  <si>
    <t>9618.HK</t>
  </si>
  <si>
    <t>京东集团-SW</t>
  </si>
  <si>
    <t>9626.HK</t>
  </si>
  <si>
    <t>9888.HK</t>
  </si>
  <si>
    <t>百度集团-SW</t>
  </si>
  <si>
    <t>9961.HK</t>
  </si>
  <si>
    <t>携程集团-S</t>
  </si>
  <si>
    <t>9988.HK</t>
  </si>
  <si>
    <t>阿里巴巴-SW</t>
  </si>
  <si>
    <t>9999.HK</t>
  </si>
  <si>
    <t>网易-S</t>
  </si>
  <si>
    <t>贝宝(PAYPAL)</t>
  </si>
  <si>
    <t>哔哩哔哩-W</t>
  </si>
  <si>
    <t>BKR.O</t>
  </si>
  <si>
    <t>贝克休斯(BAKER HUGHES)</t>
  </si>
  <si>
    <t>CSGP.O</t>
  </si>
  <si>
    <t>科斯塔(COSTAR)</t>
  </si>
  <si>
    <t>FANG.O</t>
  </si>
  <si>
    <t>DIAMONDBACK能源</t>
  </si>
  <si>
    <t>GFS.O</t>
  </si>
  <si>
    <t>WBD.O</t>
  </si>
  <si>
    <t>WARNER BROS. DISCOVERY</t>
  </si>
  <si>
    <t>GEHC.O</t>
  </si>
  <si>
    <t>1797.HK</t>
  </si>
  <si>
    <t>东方甄选</t>
  </si>
  <si>
    <t>ON.O</t>
  </si>
  <si>
    <t>安森美半导体(ON SEMICONDUCTOR)</t>
  </si>
  <si>
    <t>TTD.O</t>
  </si>
  <si>
    <t>TRADE DESK</t>
  </si>
  <si>
    <t>格芯(GLOBALFOUNDRIES)</t>
  </si>
  <si>
    <t xml:space="preserve"> </t>
    <phoneticPr fontId="1" type="noConversion"/>
  </si>
  <si>
    <t>奇富科技</t>
  </si>
  <si>
    <t>GE HEALTHCARE</t>
  </si>
  <si>
    <t>ARM.O</t>
  </si>
  <si>
    <t>ARM</t>
  </si>
  <si>
    <t>CCEP.O</t>
  </si>
  <si>
    <t>可口可乐欧洲合伙</t>
  </si>
  <si>
    <t>CDW.O</t>
  </si>
  <si>
    <t>CDW</t>
  </si>
  <si>
    <t>DASH.O</t>
  </si>
  <si>
    <t>DOORDASH</t>
  </si>
  <si>
    <t>LIN.O</t>
  </si>
  <si>
    <t>LINDE</t>
  </si>
  <si>
    <t>MDB.O</t>
  </si>
  <si>
    <t>MONGODB</t>
  </si>
  <si>
    <t>ROP.O</t>
  </si>
  <si>
    <t>儒博科技(ROPER TECHNOLOGIES)</t>
  </si>
  <si>
    <t>TTWO.O</t>
  </si>
  <si>
    <t>TAKE-TWO互动软件</t>
  </si>
  <si>
    <t>9885.HK</t>
  </si>
  <si>
    <t>药师帮</t>
  </si>
  <si>
    <t>9890.HK</t>
  </si>
  <si>
    <t>中旭未来</t>
  </si>
  <si>
    <t>美元</t>
    <phoneticPr fontId="1" type="noConversion"/>
  </si>
  <si>
    <t>实时汇率（CFETS）</t>
    <phoneticPr fontId="1" type="noConversion"/>
  </si>
  <si>
    <t>fixed_substitution_amount</t>
    <phoneticPr fontId="1" type="noConversion"/>
  </si>
  <si>
    <t>513050.OF</t>
    <phoneticPr fontId="1" type="noConversion"/>
  </si>
  <si>
    <t>申购成本</t>
    <phoneticPr fontId="1" type="noConversion"/>
  </si>
  <si>
    <t>涨幅</t>
    <phoneticPr fontId="1" type="noConversion"/>
  </si>
  <si>
    <t>港对美</t>
    <phoneticPr fontId="1" type="noConversion"/>
  </si>
  <si>
    <t>当天</t>
    <phoneticPr fontId="1" type="noConversion"/>
  </si>
  <si>
    <t>ETF申赎成分信息</t>
    <phoneticPr fontId="1" type="noConversion"/>
  </si>
  <si>
    <t>20240716</t>
    <phoneticPr fontId="1" type="noConversion"/>
  </si>
  <si>
    <t>0241.HK</t>
    <phoneticPr fontId="4" type="noConversion"/>
  </si>
  <si>
    <t>AAPL.O</t>
    <phoneticPr fontId="1" type="noConversion"/>
  </si>
  <si>
    <t>苹果(APPLE)</t>
    <phoneticPr fontId="4" type="noConversion"/>
  </si>
  <si>
    <t>退补</t>
    <phoneticPr fontId="4" type="noConversion"/>
  </si>
  <si>
    <t>阿里健康</t>
    <phoneticPr fontId="4" type="noConversion"/>
  </si>
  <si>
    <t>0241.HK</t>
  </si>
  <si>
    <t>20240717</t>
    <phoneticPr fontId="4" type="noConversion"/>
  </si>
  <si>
    <t>收盘价</t>
  </si>
  <si>
    <t>close</t>
  </si>
  <si>
    <t>Date</t>
  </si>
  <si>
    <t>9898.HK</t>
  </si>
  <si>
    <t>涨跌幅</t>
    <phoneticPr fontId="1" type="noConversion"/>
  </si>
  <si>
    <t>T-2净值</t>
    <phoneticPr fontId="1" type="noConversion"/>
  </si>
  <si>
    <t>T-1估计净值</t>
    <phoneticPr fontId="1" type="noConversion"/>
  </si>
  <si>
    <t>代码</t>
  </si>
  <si>
    <t>000625.SZ</t>
  </si>
  <si>
    <t>简称</t>
  </si>
  <si>
    <t>长安汽车</t>
  </si>
  <si>
    <t>现价</t>
  </si>
  <si>
    <t>BABA.N</t>
  </si>
  <si>
    <t>实时价格</t>
    <phoneticPr fontId="1" type="noConversion"/>
  </si>
  <si>
    <t>0241.HK</t>
    <phoneticPr fontId="1" type="noConversion"/>
  </si>
  <si>
    <t>ATHM.N</t>
    <phoneticPr fontId="1" type="noConversion"/>
  </si>
  <si>
    <t>BEKE.N</t>
    <phoneticPr fontId="1" type="noConversion"/>
  </si>
  <si>
    <t>代码</t>
    <phoneticPr fontId="1" type="noConversion"/>
  </si>
  <si>
    <t>HKDCNY.IB</t>
    <phoneticPr fontId="1" type="noConversion"/>
  </si>
  <si>
    <t>USDCNY.IB</t>
    <phoneticPr fontId="1" type="noConversion"/>
  </si>
  <si>
    <t>简称</t>
    <phoneticPr fontId="1" type="noConversion"/>
  </si>
  <si>
    <t>港元兑人民币(CFETS)</t>
    <phoneticPr fontId="1" type="noConversion"/>
  </si>
  <si>
    <t>美元兑人民币(CFETS)</t>
    <phoneticPr fontId="1" type="noConversion"/>
  </si>
  <si>
    <t>人民币换算</t>
    <phoneticPr fontId="1" type="noConversion"/>
  </si>
  <si>
    <t>2518.HK</t>
  </si>
  <si>
    <t>2423.HK</t>
  </si>
  <si>
    <t>2076.HK</t>
  </si>
  <si>
    <t>3660.HK</t>
  </si>
  <si>
    <t>1698.HK</t>
  </si>
  <si>
    <t>汽车之家-S</t>
  </si>
  <si>
    <t>贝壳-W</t>
  </si>
  <si>
    <t>奇富科技-S</t>
  </si>
  <si>
    <t>腾讯音乐-SW</t>
  </si>
  <si>
    <t>微博-SW</t>
  </si>
  <si>
    <t>美股换算</t>
    <phoneticPr fontId="1" type="noConversion"/>
  </si>
  <si>
    <t>USDHKD.IB</t>
  </si>
  <si>
    <t>美元兑港元(CFETS)</t>
  </si>
  <si>
    <t>美股收盘价</t>
    <phoneticPr fontId="1" type="noConversion"/>
  </si>
  <si>
    <t>市值</t>
    <phoneticPr fontId="1" type="noConversion"/>
  </si>
  <si>
    <t>阿里巴巴</t>
    <phoneticPr fontId="1" type="noConversion"/>
  </si>
  <si>
    <t>百度</t>
    <phoneticPr fontId="1" type="noConversion"/>
  </si>
  <si>
    <t>京东</t>
    <phoneticPr fontId="1" type="noConversion"/>
  </si>
  <si>
    <t>网易</t>
    <phoneticPr fontId="1" type="noConversion"/>
  </si>
  <si>
    <t>综合涨跌幅</t>
    <phoneticPr fontId="1" type="noConversion"/>
  </si>
  <si>
    <t>总市值</t>
    <phoneticPr fontId="1" type="noConversion"/>
  </si>
  <si>
    <t>占比</t>
    <phoneticPr fontId="1" type="noConversion"/>
  </si>
  <si>
    <t>持有金额</t>
    <phoneticPr fontId="1" type="noConversion"/>
  </si>
  <si>
    <t>总值</t>
    <phoneticPr fontId="1" type="noConversion"/>
  </si>
  <si>
    <t>实时估计净值</t>
    <phoneticPr fontId="1" type="noConversion"/>
  </si>
  <si>
    <t>基金实时价格</t>
    <phoneticPr fontId="1" type="noConversion"/>
  </si>
  <si>
    <t>折溢价情况</t>
    <phoneticPr fontId="1" type="noConversion"/>
  </si>
  <si>
    <t>0700.HK</t>
    <phoneticPr fontId="1" type="noConversion"/>
  </si>
  <si>
    <t>0772.HK</t>
    <phoneticPr fontId="1" type="noConversion"/>
  </si>
  <si>
    <t>0780.HK</t>
    <phoneticPr fontId="1" type="noConversion"/>
  </si>
  <si>
    <t>䀗ᜀ@䀗ᜀ@䀗ᜀ@䀗ᜀ@䀗ᜀ@䀗ᜀ@䀗ᜀ@䀗ᜀ@䀗ᜀ@䀗ᜀ@䀗ᜀ@䀗ᜀ@䀗ᜀ@䀗ᜀ@䀗ᜀ@䀗ᜀ@䀗ᜀ@䀗ᜀ@䀗ᜀ@䀗ᜀ@䀗ᜀ@䀗</t>
  </si>
  <si>
    <t>䄗ᜀA䄗ᜀA䄗ᜀA䄗ᜀA䄗ᜀA䄗ᜀA䄗ᜀA䄗ᜀA䄗ᜀA䄗ᜀA䄗ᜀA䄗ᜀA䄗ᜀA䄗ᜀA䄗ᜀA䄗ᜀA䄗ᜀAع䀀디_x0001_␀F_x0000_쀁Ĥ_x0000_ԀḀ_x0001_</t>
  </si>
  <si>
    <t>䀗ᜀ@䀗ᜀ@䀗ᜀ@䀗ᜀ@䀗ᜀ@䀗ᜀ@䀗ᜀ@䀗ᜀ@䀗ᜀ@䀗ᜀ@䀗ᜀ@䀗ᜀ@䀗ᜀ@䀗ᜀ@䀗ᜀ@䀗ᜀ@䀗ᜀ@ع瀀숴_x0001_␀F_x0000_쀁Ĥ_x0000_ԀḀ</t>
  </si>
  <si>
    <t>㼗ᜀ?㼗ᜀ?㼗ᜀ?㼗ᜀ?㼗ᜀ?㼗ᜀ?㼗ᜀ?㼗ᜀ?㼗ᜀ?㼗ᜀ?㼗ᜀ?㼗ᜀ?㼗ᜀ?㼗ᜀ?㼗ᜀ?㼗ᜀ?㼗ᜀ?㼗ᜀ?㼗ᜀ?㼗ᜀ?㼗ᜀ?</t>
  </si>
  <si>
    <t>阿里健康</t>
  </si>
  <si>
    <t>䄗ᜀA䄗ᜀA䄗ᜀA䄗ᜀA䄗ᜀA䄗ᜀA䄗ᜀA䄗ᜀA䄗ᜀA䄗ᜀA䄗ᜀA䄗ᜀA䄗ᜀA䄗ᜀA䄗ᜀA䄗ᜀA䄗㤀_x0004_붐韯ǹ_x0000_䜤_x0000_ĀⓀ_x0001__x0000__x0005_Ğ∀＄</t>
  </si>
  <si>
    <t>䀗ᜀ@䀗ᜀ@䀗ᜀ@䀗ᜀ@䀗ᜀ@䀗ᜀ@䀗ᜀ@䀗ᜀ@䀗ᜀ@䀗ᜀ@䀗ᜀ@䀗ᜀ@䀗ᜀ@䀗ᜀ@䀗ᜀ@䀗ᜀ@䀗㤀_x0004_뺰韯ǹ_x0000_䜤_x0000_ĀⓀ_x0001__x0000__x0005_Ğ∀</t>
  </si>
  <si>
    <t>前10</t>
    <phoneticPr fontId="1" type="noConversion"/>
  </si>
  <si>
    <t>港&amp;美</t>
    <phoneticPr fontId="1" type="noConversion"/>
  </si>
  <si>
    <t>䄗ᜀA䄗ᜀA䄗ᜀA䄗ᜀA䄗ᜀA䄗ᜀA䄗ᜀA䄗ᜀA䄗ᜀA䄗ᜀA䄗ᜀA䄗ᜀA䄗ᜀA䄗ᜀA䄗ᜀA䄗ᜀAй怀譥ꯀ_x0002_␀H_x0000_쀁Ĥ_x0000_ԀḀ_x0001_Тÿ慁</t>
  </si>
  <si>
    <t>䀗ᜀ@䀗ᜀ@䀗ᜀ@䀗ᜀ@䀗ᜀ@䀗ᜀ@䀗ᜀ@䀗ᜀ@䀗ᜀ@䀗ᜀ@䀗ᜀ@䀗ᜀ@䀗ᜀ@䀗ᜀ@䀗ᜀ@䀗ᜀ@й_x0000_譽ꯀ_x0002_␀H_x0000_쀁Ĥ_x0000_ԀḀ_x0001_Тÿ</t>
  </si>
  <si>
    <t>䄗ᜀA䄗ᜀA䄗ᜀA䄗ᜀA䄗ᜀA䄗ᜀA䄗ᜀA䄗ᜀA䄗ᜀA䄗ᜀA䄗ᜀA䄗ᜀA䄗ᜀA䄗ᜀA䄗ᜀA䄗㤀_x0004_釐溷Ň_x0000_䤤_x0000_ĀⓀ_x0001__x0000__x0005_Ğ∀＄䄀ɡȂ</t>
  </si>
  <si>
    <t>䄗ᜀA䄗ᜀA䄗ᜀA䄗ᜀA䄗ᜀA䄗ᜀA䄗ᜀA䄗ᜀA䄗ᜀA䄗ᜀA䄗ᜀA䄗ᜀA䄗ᜀA䄗ᜀA䄗ᜀA䄗ᜀA䄗ᜀA䄗ᜀA䄗ᜀA䄗ᜀA䄗ᜀA䄗ᜀ</t>
  </si>
  <si>
    <t>䀗ᜀ@䀗ᜀ@䀗ᜀ@䀗ᜀ@䀗ᜀ@䀗ᜀ@䀗ᜀ@䀗ᜀ@䀗ᜀ@䀗ᜀ@䀗ᜀ@䀗ᜀ@䀗ᜀ@䀗ᜀ@䀗ᜀ@䀗㤀_x0004_ꡐ溷Ň_x0000_䤤_x0000_ĀⓀ_x0001__x0000__x0005_Ğ∀＄䄀ɡ</t>
  </si>
  <si>
    <t>䄗ᜀA䄗ᜀA䄗ᜀA䄗ᜀA䄗ᜀA䄗ᜀA䄗ᜀA䄗ᜀA䄗ᜀA䄗ᜀA䄗ᜀA䄗ᜀA䄗ᜀA䄗ᜀA䄗ᜀAй뀀ڣ욹_x0001_␀J_x0000_쀁Ĥ_x0000_ԀḀ_x0001_Тÿ慁Ȃ_x0002_r</t>
  </si>
  <si>
    <t>䀗ᜀ@䀗ᜀ@䀗ᜀ@䀗ᜀ@䀗ᜀ@䀗ᜀ@䀗ᜀ@䀗ᜀ@䀗ᜀ@䀗ᜀ@䀗ᜀ@䀗ᜀ@䀗ᜀ@䀗ᜀ@䀗ᜀ@йړ욹_x0001_␀J_x0000_쀁Ĥ_x0000_ԀḀ_x0001_Тÿ慁Ȃ_x0002_</t>
  </si>
  <si>
    <t>7.19总</t>
    <phoneticPr fontId="1" type="noConversion"/>
  </si>
  <si>
    <t>䄗ᜀA䄗ᜀA䄗ᜀA䄗ᜀA䄗ᜀA䄗ᜀA䄗ᜀA䄗ᜀA䄗ᜀA䄗ᜀA䄗ᜀA䄗ᜀA䄗ᜀA䄗ᜀA䄗㤀_x0004_岀늭Ȋ_x0000_䬤_x0000_ĀⓀ_x0001__x0000__x0005_Ğ∀＄䄀ɡȂ爀漀眀</t>
  </si>
  <si>
    <t>䀗ᜀ@䀗ᜀ@䀗ᜀ@䀗ᜀ@䀗ᜀ@䀗ᜀ@䀗ᜀ@䀗ᜀ@䀗ᜀ@䀗ᜀ@䀗ᜀ@䀗ᜀ@䀗ᜀ@䀗ᜀ@䀗㤀_x0004_䆀늭Ȋ_x0000_䬤_x0000_ĀⓀ_x0001__x0000__x0005_Ğ∀＄䄀ɡȂ爀漀</t>
  </si>
  <si>
    <t>人民币！！</t>
    <phoneticPr fontId="1" type="noConversion"/>
  </si>
  <si>
    <t>9988.HK</t>
    <phoneticPr fontId="1" type="noConversion"/>
  </si>
  <si>
    <t>9888.HK</t>
    <phoneticPr fontId="1" type="noConversion"/>
  </si>
  <si>
    <t>9618.HK</t>
    <phoneticPr fontId="1" type="noConversion"/>
  </si>
  <si>
    <t>9999.HK</t>
    <phoneticPr fontId="1" type="noConversion"/>
  </si>
  <si>
    <t>BIDU.O</t>
  </si>
  <si>
    <t>JD.O</t>
  </si>
  <si>
    <t>NTES.O</t>
  </si>
  <si>
    <t>BOSS直聘</t>
    <phoneticPr fontId="1" type="noConversion"/>
  </si>
  <si>
    <t>䄗ᜀA䄗ᜀA䄗ᜀA䄗ᜀA䄗ᜀA䄗ᜀA䄗ᜀA䄗ᜀA䄗ᜀA䄗ᜀA䄗ᜀA䄗ᜀA䄗ᜀA䄗ᜀAй耀湴ⷰ_x0001_␀L_x0000_쀁Ĥ_x0000_ԀḀ_x0001_Тÿ慁Ȃ_x0002_rows</t>
  </si>
  <si>
    <t>䀗ᜀ@䀗ᜀ@䀗ᜀ@䀗ᜀ@䀗ᜀ@䀗ᜀ@䀗ᜀ@䀗ᜀ@䀗ᜀ@䀗ᜀ@䀗ᜀ@䀗ᜀ@䀗ᜀ@䀗ᜀ@йက湵ⷰ_x0001_␀L_x0000_쀁Ĥ_x0000_ԀḀ_x0001_Тÿ慁Ȃ_x0002_row</t>
  </si>
  <si>
    <t>误差</t>
    <phoneticPr fontId="1" type="noConversion"/>
  </si>
  <si>
    <t>䄗ᜀA䄗ᜀA䄗ᜀA䄗ᜀA䄗ᜀA䄗ᜀA䄗ᜀA䄗ᜀA䄗ᜀA䄗ᜀA䄗ᜀA䄗ᜀA䄗ᜀA䄗㤀_x0004_Ⳡᤸʡ_x0000_䴤_x0000_ĀⓀ_x0001__x0000__x0005_Ğ∀＄䄀ɡȂ爀漀眀猀攀尀</t>
  </si>
  <si>
    <t>䀗ᜀ@䀗ᜀ@䀗ᜀ@䀗ᜀ@䀗ᜀ@䀗ᜀ@䀗ᜀ@䀗ᜀ@䀗ᜀ@䀗ᜀ@䀗ᜀ@䀗ᜀ@䀗ᜀ@䀗㤀_x0004_ㅠᤸʡ_x0000_䴤_x0000_ĀⓀ_x0001__x0000__x0005_Ğ∀＄䄀ɡȂ爀漀眀猀攀</t>
  </si>
  <si>
    <t>实际净值</t>
    <phoneticPr fontId="1" type="noConversion"/>
  </si>
  <si>
    <t>净值</t>
    <phoneticPr fontId="1" type="noConversion"/>
  </si>
  <si>
    <t>折溢价</t>
    <phoneticPr fontId="1" type="noConversion"/>
  </si>
  <si>
    <t>䄗ᜀA䄗ᜀA䄗ᜀA䄗ᜀA䄗ᜀA䄗ᜀA䄗ᜀA䄗ᜀA䄗ᜀA䄗ᜀA䄗ᜀA䄗ᜀA䄗ᜀAй　꿙_x0001_␀N_x0000_쀁Ĥ_x0000_ԀḀ_x0001_Тÿ慁Ȃ_x0002_rowse\X</t>
  </si>
  <si>
    <t>䀗ᜀ@䀗ᜀ@䀗ᜀ@䀗ᜀ@䀗ᜀ@䀗ᜀ@䀗ᜀ@䀗ᜀ@䀗ᜀ@䀗ᜀ@䀗ᜀ@䀗ᜀ@䀗ᜀ@й 꿙_x0001_␀N_x0000_쀁Ĥ_x0000_ԀḀ_x0001_Тÿ慁Ȃ_x0002_rowse\</t>
  </si>
  <si>
    <t>2024-07-23</t>
    <phoneticPr fontId="4" type="noConversion"/>
  </si>
  <si>
    <t>7.22总</t>
    <phoneticPr fontId="1" type="noConversion"/>
  </si>
  <si>
    <t>BZ.O</t>
    <phoneticPr fontId="1" type="noConversion"/>
  </si>
  <si>
    <t>WB.O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</si>
</sst>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###,###,##0.0000"/>
    <numFmt numFmtId="177" formatCode="0.0000"/>
    <numFmt numFmtId="178" formatCode="###,###,##0.00"/>
    <numFmt numFmtId="179" formatCode="0.00_ ;[Red]\-0.00\ "/>
    <numFmt numFmtId="180" formatCode="yyyy\-mm\-dd"/>
    <numFmt numFmtId="181" formatCode="#,##0.00%;[Red]\-#,##0.00%"/>
    <numFmt numFmtId="182" formatCode="###,###,##0.000"/>
    <numFmt numFmtId="183" formatCode="#,##0.######"/>
    <numFmt numFmtId="184" formatCode="#,##0.00_ "/>
    <numFmt numFmtId="185" formatCode="#,##0.000"/>
    <numFmt numFmtId="186" formatCode="0.00000"/>
    <numFmt numFmtId="187" formatCode="#,##0.0000"/>
    <numFmt numFmtId="188" formatCode="###,###,##0.00000"/>
    <numFmt numFmtId="189" formatCode="0.00000%"/>
    <numFmt numFmtId="190" formatCode="0.0000000%"/>
    <numFmt numFmtId="191" formatCode="0.00000000%"/>
    <numFmt numFmtId="192" formatCode="0.000000000000%"/>
    <numFmt numFmtId="195" formatCode="0.0000%"/>
    <numFmt numFmtId="196" formatCode="0.000000%"/>
  </numFmts>
  <fonts count="21" x14ac:knownFonts="1">
    <font>
      <sz val="10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Arial"/>
      <family val="2"/>
    </font>
    <font>
      <sz val="9"/>
      <name val="宋体"/>
      <family val="2"/>
      <charset val="134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Arial"/>
      <family val="2"/>
    </font>
    <font>
      <b/>
      <sz val="14"/>
      <color rgb="FFFF3300"/>
      <name val="宋体"/>
      <family val="3"/>
      <charset val="134"/>
      <scheme val="minor"/>
    </font>
    <font>
      <sz val="16"/>
      <color rgb="FFFF0000"/>
      <name val="Arial"/>
      <family val="2"/>
    </font>
    <font>
      <sz val="14"/>
      <color rgb="FFFF0000"/>
      <name val="Arial"/>
      <family val="2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FF330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0"/>
      <color rgb="FF000000"/>
      <name val="Arial"/>
      <family val="2"/>
    </font>
    <font>
      <sz val="10"/>
      <name val="宋体"/>
      <family val="2"/>
      <charset val="134"/>
    </font>
    <font>
      <sz val="7"/>
      <color rgb="FF333333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</fills>
  <borders count="7">
    <border>
      <left/>
      <right/>
      <top/>
      <bottom/>
      <diagonal/>
    </border>
    <border>
      <left style="medium">
        <color rgb="FFE4A8A8"/>
      </left>
      <right/>
      <top style="medium">
        <color rgb="FFE4A8A8"/>
      </top>
      <bottom/>
      <diagonal/>
    </border>
    <border>
      <left/>
      <right/>
      <top style="medium">
        <color rgb="FFE4A8A8"/>
      </top>
      <bottom/>
      <diagonal/>
    </border>
    <border>
      <left/>
      <right style="medium">
        <color rgb="FFE4A8A8"/>
      </right>
      <top style="medium">
        <color rgb="FFE4A8A8"/>
      </top>
      <bottom/>
      <diagonal/>
    </border>
    <border>
      <left style="medium">
        <color rgb="FFE4A8A8"/>
      </left>
      <right/>
      <top/>
      <bottom style="medium">
        <color rgb="FFE4A8A8"/>
      </bottom>
      <diagonal/>
    </border>
    <border>
      <left/>
      <right/>
      <top/>
      <bottom style="medium">
        <color rgb="FFE4A8A8"/>
      </bottom>
      <diagonal/>
    </border>
    <border>
      <left/>
      <right style="medium">
        <color rgb="FFE4A8A8"/>
      </right>
      <top/>
      <bottom style="medium">
        <color rgb="FFE4A8A8"/>
      </bottom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131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76" fontId="0" fillId="0" borderId="0" xfId="0" applyNumberFormat="1">
      <alignment vertical="center"/>
    </xf>
    <xf numFmtId="49" fontId="0" fillId="0" borderId="0" xfId="0" applyNumberFormat="1" applyAlignment="1">
      <alignment horizontal="right" vertical="center"/>
    </xf>
    <xf numFmtId="2" fontId="0" fillId="0" borderId="0" xfId="0" applyNumberForma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80" fontId="10" fillId="0" borderId="0" xfId="0" applyNumberFormat="1" applyFont="1" applyAlignment="1">
      <alignment horizontal="right" vertical="center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3" fontId="10" fillId="0" borderId="0" xfId="0" applyNumberFormat="1" applyFont="1">
      <alignment vertical="center"/>
    </xf>
    <xf numFmtId="3" fontId="9" fillId="0" borderId="0" xfId="0" applyNumberFormat="1" applyFont="1" applyAlignment="1">
      <alignment horizontal="center" vertical="center"/>
    </xf>
    <xf numFmtId="10" fontId="11" fillId="0" borderId="0" xfId="1" applyNumberFormat="1" applyFont="1">
      <alignment vertical="center"/>
    </xf>
    <xf numFmtId="2" fontId="11" fillId="0" borderId="0" xfId="1" applyNumberFormat="1" applyFont="1">
      <alignment vertical="center"/>
    </xf>
    <xf numFmtId="1" fontId="10" fillId="0" borderId="0" xfId="0" applyNumberFormat="1" applyFont="1">
      <alignment vertical="center"/>
    </xf>
    <xf numFmtId="0" fontId="12" fillId="0" borderId="0" xfId="0" applyFont="1">
      <alignment vertical="center"/>
    </xf>
    <xf numFmtId="4" fontId="0" fillId="0" borderId="0" xfId="0" applyNumberFormat="1">
      <alignment vertical="center"/>
    </xf>
    <xf numFmtId="183" fontId="0" fillId="0" borderId="0" xfId="0" applyNumberFormat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84" fontId="10" fillId="0" borderId="0" xfId="0" applyNumberFormat="1" applyFont="1">
      <alignment vertical="center"/>
    </xf>
    <xf numFmtId="40" fontId="10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8" fontId="0" fillId="0" borderId="0" xfId="0" applyNumberFormat="1">
      <alignment vertical="center"/>
    </xf>
    <xf numFmtId="176" fontId="10" fillId="0" borderId="0" xfId="0" applyNumberFormat="1" applyFont="1" applyAlignment="1">
      <alignment horizontal="center" vertical="center"/>
    </xf>
    <xf numFmtId="185" fontId="10" fillId="0" borderId="0" xfId="0" applyNumberFormat="1" applyFont="1">
      <alignment vertical="center"/>
    </xf>
    <xf numFmtId="2" fontId="11" fillId="0" borderId="0" xfId="1" applyNumberFormat="1" applyFont="1" applyFill="1">
      <alignment vertical="center"/>
    </xf>
    <xf numFmtId="178" fontId="14" fillId="0" borderId="0" xfId="0" applyNumberFormat="1" applyFont="1" applyAlignment="1">
      <alignment horizontal="center" vertical="center"/>
    </xf>
    <xf numFmtId="1" fontId="7" fillId="0" borderId="0" xfId="0" applyNumberFormat="1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7" fillId="0" borderId="0" xfId="0" applyNumberFormat="1" applyFont="1">
      <alignment vertical="center"/>
    </xf>
    <xf numFmtId="10" fontId="15" fillId="0" borderId="0" xfId="1" applyNumberFormat="1" applyFont="1" applyFill="1">
      <alignment vertical="center"/>
    </xf>
    <xf numFmtId="3" fontId="7" fillId="0" borderId="0" xfId="0" applyNumberFormat="1" applyFont="1" applyAlignment="1">
      <alignment horizontal="center" vertical="center"/>
    </xf>
    <xf numFmtId="10" fontId="7" fillId="0" borderId="0" xfId="0" applyNumberFormat="1" applyFont="1">
      <alignment vertical="center"/>
    </xf>
    <xf numFmtId="0" fontId="14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3" fontId="7" fillId="0" borderId="0" xfId="0" applyNumberFormat="1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180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right" vertical="center"/>
    </xf>
    <xf numFmtId="49" fontId="8" fillId="2" borderId="0" xfId="0" applyNumberFormat="1" applyFont="1" applyFill="1" applyAlignment="1">
      <alignment horizontal="right" vertical="center"/>
    </xf>
    <xf numFmtId="183" fontId="8" fillId="2" borderId="0" xfId="0" applyNumberFormat="1" applyFont="1" applyFill="1" applyAlignment="1">
      <alignment horizontal="right" vertical="center"/>
    </xf>
    <xf numFmtId="180" fontId="8" fillId="2" borderId="0" xfId="0" applyNumberFormat="1" applyFont="1" applyFill="1" applyAlignment="1">
      <alignment horizontal="right" vertical="center"/>
    </xf>
    <xf numFmtId="177" fontId="8" fillId="0" borderId="0" xfId="0" applyNumberFormat="1" applyFont="1">
      <alignment vertical="center"/>
    </xf>
    <xf numFmtId="1" fontId="8" fillId="0" borderId="0" xfId="0" applyNumberFormat="1" applyFont="1">
      <alignment vertical="center"/>
    </xf>
    <xf numFmtId="3" fontId="0" fillId="0" borderId="0" xfId="0" applyNumberFormat="1" applyAlignment="1">
      <alignment horizontal="right" vertical="center"/>
    </xf>
    <xf numFmtId="3" fontId="8" fillId="2" borderId="0" xfId="0" applyNumberFormat="1" applyFont="1" applyFill="1" applyAlignment="1">
      <alignment horizontal="right" vertical="center"/>
    </xf>
    <xf numFmtId="2" fontId="8" fillId="0" borderId="0" xfId="0" applyNumberFormat="1" applyFont="1">
      <alignment vertical="center"/>
    </xf>
    <xf numFmtId="176" fontId="13" fillId="0" borderId="0" xfId="0" applyNumberFormat="1" applyFont="1">
      <alignment vertical="center"/>
    </xf>
    <xf numFmtId="180" fontId="0" fillId="2" borderId="0" xfId="0" applyNumberFormat="1" applyFill="1" applyAlignment="1">
      <alignment horizontal="right" vertical="center"/>
    </xf>
    <xf numFmtId="49" fontId="0" fillId="2" borderId="0" xfId="0" applyNumberFormat="1" applyFill="1" applyAlignment="1">
      <alignment horizontal="right" vertical="center"/>
    </xf>
    <xf numFmtId="3" fontId="0" fillId="2" borderId="0" xfId="0" applyNumberFormat="1" applyFill="1" applyAlignment="1">
      <alignment horizontal="right" vertical="center"/>
    </xf>
    <xf numFmtId="183" fontId="0" fillId="2" borderId="0" xfId="0" applyNumberFormat="1" applyFill="1" applyAlignment="1">
      <alignment horizontal="right" vertical="center"/>
    </xf>
    <xf numFmtId="3" fontId="11" fillId="0" borderId="0" xfId="1" applyNumberFormat="1" applyFont="1" applyFill="1">
      <alignment vertical="center"/>
    </xf>
    <xf numFmtId="2" fontId="7" fillId="0" borderId="0" xfId="0" applyNumberFormat="1" applyFont="1">
      <alignment vertical="center"/>
    </xf>
    <xf numFmtId="4" fontId="10" fillId="0" borderId="0" xfId="0" applyNumberFormat="1" applyFont="1">
      <alignment vertical="center"/>
    </xf>
    <xf numFmtId="10" fontId="16" fillId="0" borderId="0" xfId="1" applyNumberFormat="1" applyFont="1" applyFill="1">
      <alignment vertical="center"/>
    </xf>
    <xf numFmtId="0" fontId="7" fillId="0" borderId="0" xfId="0" applyFont="1" applyAlignment="1">
      <alignment horizontal="center" vertical="center" wrapText="1"/>
    </xf>
    <xf numFmtId="186" fontId="8" fillId="0" borderId="0" xfId="0" applyNumberFormat="1" applyFont="1">
      <alignment vertical="center"/>
    </xf>
    <xf numFmtId="0" fontId="8" fillId="5" borderId="0" xfId="0" applyFont="1" applyFill="1">
      <alignment vertical="center"/>
    </xf>
    <xf numFmtId="0" fontId="8" fillId="5" borderId="0" xfId="0" applyFont="1" applyFill="1" applyAlignment="1">
      <alignment horizontal="right" vertical="center"/>
    </xf>
    <xf numFmtId="0" fontId="8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vertical="center" wrapText="1"/>
    </xf>
    <xf numFmtId="0" fontId="2" fillId="5" borderId="0" xfId="0" applyFont="1" applyFill="1">
      <alignment vertical="center"/>
    </xf>
    <xf numFmtId="0" fontId="0" fillId="5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right" vertical="center" wrapText="1"/>
    </xf>
    <xf numFmtId="0" fontId="0" fillId="5" borderId="0" xfId="0" applyFill="1" applyAlignment="1">
      <alignment vertical="center" wrapText="1"/>
    </xf>
    <xf numFmtId="4" fontId="0" fillId="5" borderId="0" xfId="0" applyNumberFormat="1" applyFill="1">
      <alignment vertical="center"/>
    </xf>
    <xf numFmtId="2" fontId="0" fillId="5" borderId="0" xfId="0" applyNumberFormat="1" applyFill="1" applyAlignment="1">
      <alignment vertical="center" wrapText="1"/>
    </xf>
    <xf numFmtId="10" fontId="7" fillId="0" borderId="0" xfId="1" applyNumberFormat="1" applyFont="1" applyFill="1">
      <alignment vertical="center"/>
    </xf>
    <xf numFmtId="2" fontId="7" fillId="0" borderId="0" xfId="0" applyNumberFormat="1" applyFont="1" applyAlignment="1">
      <alignment horizontal="center" vertical="center"/>
    </xf>
    <xf numFmtId="182" fontId="7" fillId="4" borderId="0" xfId="0" applyNumberFormat="1" applyFont="1" applyFill="1" applyAlignment="1">
      <alignment horizontal="center" vertical="center"/>
    </xf>
    <xf numFmtId="10" fontId="16" fillId="4" borderId="0" xfId="1" applyNumberFormat="1" applyFont="1" applyFill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82" fontId="7" fillId="3" borderId="0" xfId="0" applyNumberFormat="1" applyFont="1" applyFill="1" applyAlignment="1">
      <alignment horizontal="center" vertical="center"/>
    </xf>
    <xf numFmtId="10" fontId="14" fillId="3" borderId="0" xfId="1" applyNumberFormat="1" applyFont="1" applyFill="1" applyAlignment="1">
      <alignment horizontal="center" vertical="center"/>
    </xf>
    <xf numFmtId="0" fontId="9" fillId="0" borderId="0" xfId="0" applyFont="1">
      <alignment vertical="center"/>
    </xf>
    <xf numFmtId="0" fontId="8" fillId="0" borderId="0" xfId="0" applyFont="1" applyAlignment="1">
      <alignment vertical="center" wrapText="1"/>
    </xf>
    <xf numFmtId="18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8" fillId="0" borderId="0" xfId="0" applyNumberFormat="1" applyFont="1">
      <alignment vertical="center"/>
    </xf>
    <xf numFmtId="0" fontId="8" fillId="0" borderId="0" xfId="0" applyFont="1" applyAlignment="1">
      <alignment horizontal="right" vertical="center"/>
    </xf>
    <xf numFmtId="177" fontId="8" fillId="0" borderId="0" xfId="0" applyNumberFormat="1" applyFont="1" applyAlignment="1">
      <alignment horizontal="right" vertical="center"/>
    </xf>
    <xf numFmtId="183" fontId="8" fillId="0" borderId="0" xfId="0" applyNumberFormat="1" applyFont="1">
      <alignment vertical="center"/>
    </xf>
    <xf numFmtId="187" fontId="8" fillId="0" borderId="0" xfId="0" applyNumberFormat="1" applyFont="1" applyAlignment="1">
      <alignment horizontal="right" vertical="center"/>
    </xf>
    <xf numFmtId="187" fontId="8" fillId="0" borderId="0" xfId="0" applyNumberFormat="1" applyFont="1" applyAlignment="1">
      <alignment horizontal="center" vertical="center"/>
    </xf>
    <xf numFmtId="0" fontId="8" fillId="0" borderId="1" xfId="0" applyFont="1" applyBorder="1">
      <alignment vertical="center"/>
    </xf>
    <xf numFmtId="0" fontId="8" fillId="0" borderId="2" xfId="0" applyFont="1" applyBorder="1">
      <alignment vertical="center"/>
    </xf>
    <xf numFmtId="0" fontId="8" fillId="0" borderId="3" xfId="0" applyFont="1" applyBorder="1">
      <alignment vertical="center"/>
    </xf>
    <xf numFmtId="0" fontId="8" fillId="0" borderId="4" xfId="0" applyFont="1" applyBorder="1">
      <alignment vertical="center"/>
    </xf>
    <xf numFmtId="0" fontId="8" fillId="0" borderId="5" xfId="0" applyFont="1" applyBorder="1">
      <alignment vertical="center"/>
    </xf>
    <xf numFmtId="188" fontId="8" fillId="0" borderId="0" xfId="0" applyNumberFormat="1" applyFont="1">
      <alignment vertical="center"/>
    </xf>
    <xf numFmtId="49" fontId="18" fillId="6" borderId="0" xfId="0" applyNumberFormat="1" applyFont="1" applyFill="1" applyAlignment="1">
      <alignment horizontal="right" vertical="center"/>
    </xf>
    <xf numFmtId="188" fontId="0" fillId="0" borderId="0" xfId="0" applyNumberFormat="1">
      <alignment vertical="center"/>
    </xf>
    <xf numFmtId="190" fontId="8" fillId="0" borderId="6" xfId="1" applyNumberFormat="1" applyFont="1" applyBorder="1">
      <alignment vertical="center"/>
    </xf>
    <xf numFmtId="189" fontId="8" fillId="0" borderId="0" xfId="1" applyNumberFormat="1" applyFont="1">
      <alignment vertical="center"/>
    </xf>
    <xf numFmtId="176" fontId="8" fillId="0" borderId="0" xfId="0" applyNumberFormat="1" applyFont="1">
      <alignment vertical="center"/>
    </xf>
    <xf numFmtId="0" fontId="8" fillId="3" borderId="0" xfId="0" applyFont="1" applyFill="1">
      <alignment vertical="center"/>
    </xf>
    <xf numFmtId="0" fontId="8" fillId="7" borderId="0" xfId="0" applyFont="1" applyFill="1" applyAlignment="1">
      <alignment horizontal="right" vertical="center"/>
    </xf>
    <xf numFmtId="0" fontId="8" fillId="8" borderId="0" xfId="0" applyFont="1" applyFill="1">
      <alignment vertical="center"/>
    </xf>
    <xf numFmtId="49" fontId="0" fillId="8" borderId="0" xfId="0" applyNumberFormat="1" applyFill="1" applyAlignment="1">
      <alignment horizontal="right" vertical="center"/>
    </xf>
    <xf numFmtId="183" fontId="19" fillId="9" borderId="0" xfId="0" applyNumberFormat="1" applyFont="1" applyFill="1" applyAlignment="1">
      <alignment horizontal="right" vertical="center"/>
    </xf>
    <xf numFmtId="188" fontId="0" fillId="0" borderId="0" xfId="0" applyNumberFormat="1" applyAlignment="1">
      <alignment vertical="center" wrapText="1"/>
    </xf>
    <xf numFmtId="176" fontId="0" fillId="0" borderId="0" xfId="0" applyNumberFormat="1" applyAlignment="1">
      <alignment vertical="center" wrapText="1"/>
    </xf>
    <xf numFmtId="0" fontId="8" fillId="10" borderId="0" xfId="0" applyFont="1" applyFill="1">
      <alignment vertical="center"/>
    </xf>
    <xf numFmtId="0" fontId="8" fillId="11" borderId="0" xfId="0" applyFont="1" applyFill="1">
      <alignment vertical="center"/>
    </xf>
    <xf numFmtId="0" fontId="8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187" fontId="8" fillId="3" borderId="0" xfId="0" applyNumberFormat="1" applyFont="1" applyFill="1" applyAlignment="1">
      <alignment horizontal="right" vertical="center"/>
    </xf>
    <xf numFmtId="177" fontId="8" fillId="3" borderId="0" xfId="0" applyNumberFormat="1" applyFont="1" applyFill="1">
      <alignment vertical="center"/>
    </xf>
    <xf numFmtId="4" fontId="8" fillId="3" borderId="0" xfId="0" applyNumberFormat="1" applyFont="1" applyFill="1">
      <alignment vertical="center"/>
    </xf>
    <xf numFmtId="0" fontId="20" fillId="0" borderId="0" xfId="0" applyFont="1">
      <alignment vertical="center"/>
    </xf>
    <xf numFmtId="191" fontId="8" fillId="0" borderId="0" xfId="1" applyNumberFormat="1" applyFont="1">
      <alignment vertical="center"/>
    </xf>
    <xf numFmtId="192" fontId="8" fillId="0" borderId="0" xfId="0" applyNumberFormat="1" applyFont="1">
      <alignment vertical="center"/>
    </xf>
    <xf numFmtId="177" fontId="8" fillId="0" borderId="0" xfId="1" applyNumberFormat="1" applyFont="1" applyAlignment="1">
      <alignment horizontal="right" vertical="center"/>
    </xf>
    <xf numFmtId="195" fontId="8" fillId="0" borderId="0" xfId="1" applyNumberFormat="1" applyFont="1">
      <alignment vertical="center"/>
    </xf>
    <xf numFmtId="0" fontId="8" fillId="0" borderId="0" xfId="0" applyNumberFormat="1" applyFont="1" applyAlignment="1">
      <alignment horizontal="right" vertical="center"/>
    </xf>
    <xf numFmtId="196" fontId="8" fillId="3" borderId="0" xfId="1" applyNumberFormat="1" applyFont="1" applyFill="1">
      <alignment vertical="center"/>
    </xf>
  </cellXfs>
  <cellStyles count="2">
    <cellStyle name="百分比" xfId="1" builtinId="5"/>
    <cellStyle name="常规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CC"/>
      <color rgb="FF66CCFF"/>
      <color rgb="FFFFFF66"/>
      <color rgb="FFCCFFFF"/>
      <color rgb="FFFFCC00"/>
      <color rgb="FFFFFF00"/>
      <color rgb="FFFF3300"/>
      <color rgb="FFCC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0.93180000000000007</v>
        <stp/>
        <stp>HKDCNY.IB</stp>
        <stp>Rt_Price</stp>
        <tr r="C2" s="26"/>
      </tp>
      <tp>
        <v>7.2743000000000002</v>
        <stp/>
        <stp>USDCNY.IB</stp>
        <stp>Rt_Price</stp>
        <tr r="B2" s="26"/>
      </tp>
      <tp>
        <v>1.4770000000000001</v>
        <stp/>
        <stp>513100.SH</stp>
        <stp>Ask_Price1</stp>
        <tr r="B7" s="26"/>
      </tp>
      <tp>
        <v>1.042</v>
        <stp/>
        <stp>513050.SH</stp>
        <stp>Ask_Price1</stp>
        <tr r="B5" s="26"/>
      </tp>
      <tp>
        <v>1.476</v>
        <stp/>
        <stp>513100.SH</stp>
        <stp>Bid_Price1</stp>
        <tr r="B8" s="26"/>
      </tp>
      <tp>
        <v>1.0409999999999999</v>
        <stp/>
        <stp>513050.SH</stp>
        <stp>Bid_Price1</stp>
        <tr r="B6" s="26"/>
      </tp>
      <tp>
        <v>7.8066800000000001</v>
        <stp/>
        <stp>USDHKD.IB</stp>
        <stp>rt_last</stp>
        <stp>RT_Price</stp>
        <tr r="AG7" s="6"/>
      </tp>
      <tp>
        <v>0.93180000000000007</v>
        <stp/>
        <stp>HKDCNY.IB</stp>
        <stp>rt_last</stp>
        <stp>RT_Price</stp>
        <tr r="AE7" s="6"/>
      </tp>
      <tp>
        <v>7.2743000000000002</v>
        <stp/>
        <stp>USDCNY.IB</stp>
        <stp>rt_last</stp>
        <stp>RT_Price</stp>
        <tr r="AF7" s="6"/>
      </tp>
      <tp>
        <v>7.95</v>
        <stp/>
        <stp>WB.O</stp>
        <stp>rt_last</stp>
        <stp>RT_Price</stp>
        <tr r="AI7" s="6"/>
      </tp>
      <tp>
        <v>48.4</v>
        <stp/>
        <stp>2518.HK</stp>
        <stp>rt_last</stp>
        <stp>RT_Price</stp>
        <tr r="AN28" s="6"/>
      </tp>
      <tp>
        <v>37.050000000000004</v>
        <stp/>
        <stp>2423.HK</stp>
        <stp>rt_last</stp>
        <stp>RT_Price</stp>
        <tr r="AO28" s="6"/>
      </tp>
      <tp>
        <v>25.85</v>
        <stp/>
        <stp>0772.HK</stp>
        <stp>rt_last</stp>
        <stp>RT_Price</stp>
        <tr r="V8" s="6"/>
      </tp>
      <tp>
        <v>368</v>
        <stp/>
        <stp>0700.HK</stp>
        <stp>rt_last</stp>
        <stp>RT_Price</stp>
        <tr r="V7" s="6"/>
      </tp>
      <tp>
        <v>11.58</v>
        <stp/>
        <stp>1797.HK</stp>
        <stp>rt_last</stp>
        <stp>RT_Price</stp>
        <tr r="V11" s="6"/>
      </tp>
      <tp>
        <v>13.72</v>
        <stp/>
        <stp>0780.HK</stp>
        <stp>rt_last</stp>
        <stp>RT_Price</stp>
        <tr r="V9" s="6"/>
      </tp>
      <tp>
        <v>76.05</v>
        <stp/>
        <stp>3660.HK</stp>
        <stp>rt_last</stp>
        <stp>RT_Price</stp>
        <tr r="AQ28" s="6"/>
      </tp>
      <tp>
        <v>102.5</v>
        <stp/>
        <stp>9618.HK</stp>
        <stp>rt_last</stp>
        <stp>RT_Price</stp>
        <tr r="AV28" s="6"/>
        <tr r="V18" s="6"/>
      </tp>
      <tp>
        <v>20.6</v>
        <stp/>
        <stp>6618.HK</stp>
        <stp>rt_last</stp>
        <stp>RT_Price</stp>
        <tr r="V17" s="6"/>
      </tp>
      <tp>
        <v>117.60000000000001</v>
        <stp/>
        <stp>9626.HK</stp>
        <stp>rt_last</stp>
        <stp>RT_Price</stp>
        <tr r="V19" s="6"/>
        <tr r="AP28" s="6"/>
      </tp>
      <tp>
        <v>118.7</v>
        <stp/>
        <stp>3690.HK</stp>
        <stp>rt_last</stp>
        <stp>RT_Price</stp>
        <tr r="V14" s="6"/>
      </tp>
      <tp>
        <v>57.5</v>
        <stp/>
        <stp>1698.HK</stp>
        <stp>rt_last</stp>
        <stp>RT_Price</stp>
        <tr r="AR28" s="6"/>
      </tp>
      <tp>
        <v>15.24</v>
        <stp/>
        <stp>000625.SZ</stp>
        <stp>rt_last</stp>
        <stp>RT_Price</stp>
        <tr r="AK7" s="6"/>
      </tp>
      <tp>
        <v>12.56</v>
        <stp/>
        <stp>6060.HK</stp>
        <stp>rt_last</stp>
        <stp>RT_Price</stp>
        <tr r="V16" s="6"/>
      </tp>
      <tp>
        <v>44.75</v>
        <stp/>
        <stp>1024.HK</stp>
        <stp>rt_last</stp>
        <stp>RT_Price</stp>
        <tr r="AJ7" s="6"/>
        <tr r="V10" s="6"/>
      </tp>
      <tp>
        <v>1.042</v>
        <stp/>
        <stp>513050.SH</stp>
        <stp>rt_last</stp>
        <stp>RT_Price</stp>
        <tr r="AB6" s="6"/>
        <tr r="AB9" s="6"/>
      </tp>
      <tp>
        <v>3.25</v>
        <stp/>
        <stp>0241.HK</stp>
        <stp>rt_last</stp>
        <stp>RT_Price</stp>
        <tr r="V6" s="6"/>
        <tr r="W61" s="6"/>
      </tp>
      <tp>
        <v>361.40000000000003</v>
        <stp/>
        <stp>9961.HK</stp>
        <stp>rt_last</stp>
        <stp>RT_Price</stp>
        <tr r="V23" s="6"/>
      </tp>
      <tp>
        <v>142.5</v>
        <stp/>
        <stp>9999.HK</stp>
        <stp>rt_last</stp>
        <stp>RT_Price</stp>
        <tr r="V25" s="6"/>
        <tr r="AW28" s="6"/>
      </tp>
      <tp>
        <v>74.25</v>
        <stp/>
        <stp>9988.HK</stp>
        <stp>rt_last</stp>
        <stp>RT_Price</stp>
        <tr r="V24" s="6"/>
        <tr r="AT28" s="6"/>
      </tp>
      <tp>
        <v>16.940000000000001</v>
        <stp/>
        <stp>1810.HK</stp>
        <stp>rt_last</stp>
        <stp>RT_Price</stp>
        <tr r="V12" s="6"/>
      </tp>
      <tp>
        <v>11.22</v>
        <stp/>
        <stp>1833.HK</stp>
        <stp>rt_last</stp>
        <stp>RT_Price</stp>
        <tr r="V13" s="6"/>
      </tp>
      <tp>
        <v>12.200000000000001</v>
        <stp/>
        <stp>9890.HK</stp>
        <stp>rt_last</stp>
        <stp>RT_Price</stp>
        <tr r="V22" s="6"/>
      </tp>
      <tp>
        <v>61.65</v>
        <stp/>
        <stp>9898.HK</stp>
        <stp>rt_last</stp>
        <stp>RT_Price</stp>
        <tr r="AS28" s="6"/>
      </tp>
      <tp>
        <v>7.99</v>
        <stp/>
        <stp>9885.HK</stp>
        <stp>rt_last</stp>
        <stp>RT_Price</stp>
        <tr r="V20" s="6"/>
      </tp>
      <tp>
        <v>88.4</v>
        <stp/>
        <stp>9888.HK</stp>
        <stp>rt_last</stp>
        <stp>RT_Price</stp>
        <tr r="AU28" s="6"/>
        <tr r="V21" s="6"/>
      </tp>
      <tp>
        <v>21.85</v>
        <stp/>
        <stp>3888.HK</stp>
        <stp>rt_last</stp>
        <stp>RT_Price</stp>
        <tr r="V15" s="6"/>
      </tp>
      <tp>
        <v>-2.14</v>
        <stp/>
        <stp>3690.HK</stp>
        <stp>PctChg</stp>
        <tr r="G3" s="26"/>
      </tp>
      <tp>
        <v>-1.3900000000000001</v>
        <stp/>
        <stp>0700.HK</stp>
        <stp>PctChg</stp>
        <tr r="G2" s="26"/>
      </tp>
      <tp>
        <v>-1.6300000000000001</v>
        <stp/>
        <stp>1810.HK</stp>
        <stp>PctChg</stp>
        <tr r="G4" s="2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G\Wind\DataBrowse\XLA\WindFunc.xla" TargetMode="External"/><Relationship Id="rId1" Type="http://schemas.openxmlformats.org/officeDocument/2006/relationships/externalLinkPath" Target="file:///D:\MG\Wind\DataBrowse\XLA\WindFunc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ind\Wind.NET.Client\WindNET\DataBrowse\XLA\WindFunc.xla" TargetMode="External"/><Relationship Id="rId1" Type="http://schemas.openxmlformats.org/officeDocument/2006/relationships/externalLinkPath" Target="/Wind/Wind.NET.Client/WindNET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definedNames>
      <definedName name="f_nav_unit"/>
      <definedName name="s_dq_close"/>
      <definedName name="s_dq_high"/>
      <definedName name="s_info_name"/>
      <definedName name="WSD"/>
      <definedName name="wset"/>
    </defined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  <sheetName val="WindFunc"/>
    </sheetNames>
    <definedNames>
      <definedName name="s_dq_close"/>
      <definedName name="s_dq_high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A1:P29"/>
  <sheetViews>
    <sheetView workbookViewId="0">
      <selection activeCell="C27" sqref="C27"/>
    </sheetView>
  </sheetViews>
  <sheetFormatPr defaultColWidth="9.1796875" defaultRowHeight="14" x14ac:dyDescent="0.25"/>
  <cols>
    <col min="1" max="1" width="15.453125" style="36" customWidth="1"/>
    <col min="2" max="3" width="12.26953125" style="36" bestFit="1" customWidth="1"/>
    <col min="4" max="4" width="13" style="36" customWidth="1"/>
    <col min="5" max="5" width="12.7265625" style="36" bestFit="1" customWidth="1"/>
    <col min="6" max="6" width="10.26953125" style="36" bestFit="1" customWidth="1"/>
    <col min="7" max="7" width="12" style="36" bestFit="1" customWidth="1"/>
    <col min="8" max="8" width="13.26953125" style="36" hidden="1" customWidth="1"/>
    <col min="9" max="9" width="10.7265625" style="36" hidden="1" customWidth="1"/>
    <col min="10" max="10" width="11.54296875" style="36" hidden="1" customWidth="1"/>
    <col min="11" max="11" width="11.54296875" style="36" bestFit="1" customWidth="1"/>
    <col min="12" max="16384" width="9.1796875" style="36"/>
  </cols>
  <sheetData>
    <row r="1" spans="1:11" ht="15" customHeight="1" x14ac:dyDescent="0.25">
      <c r="A1" s="38"/>
      <c r="B1" s="41" t="s">
        <v>145</v>
      </c>
      <c r="C1" s="41" t="s">
        <v>146</v>
      </c>
      <c r="F1" s="37"/>
      <c r="G1" s="37" t="s">
        <v>311</v>
      </c>
      <c r="K1" s="35"/>
    </row>
    <row r="2" spans="1:11" ht="24" customHeight="1" x14ac:dyDescent="0.25">
      <c r="A2" s="69" t="s">
        <v>307</v>
      </c>
      <c r="B2" s="39">
        <f>RTD("wdf.rtq",,"USDCNY.IB","Rt_Price")</f>
        <v>7.2743000000000002</v>
      </c>
      <c r="C2" s="39">
        <f>RTD("wdf.rtq",,"HKDCNY.IB","Rt_Price")</f>
        <v>0.93180000000000007</v>
      </c>
      <c r="F2" s="34" t="s">
        <v>155</v>
      </c>
      <c r="G2" s="82">
        <f>RTD("wdf.rtq",,"0700.HK","PctChg")/100-0</f>
        <v>-1.3900000000000001E-2</v>
      </c>
      <c r="H2" s="36">
        <v>5000000</v>
      </c>
      <c r="J2" s="42" t="e">
        <f>SUM(J3:J9)</f>
        <v>#REF!</v>
      </c>
      <c r="K2" s="37"/>
    </row>
    <row r="3" spans="1:11" ht="15" customHeight="1" x14ac:dyDescent="0.25">
      <c r="E3" s="66"/>
      <c r="F3" s="34" t="s">
        <v>156</v>
      </c>
      <c r="G3" s="82">
        <f>RTD("wdf.rtq",,"3690.HK","PctChg")/100-0</f>
        <v>-2.1400000000000002E-2</v>
      </c>
      <c r="H3" s="35" t="e">
        <f>B5*H2/C2*J3/中概互联实时折溢价!#REF!</f>
        <v>#REF!</v>
      </c>
      <c r="I3" s="35" t="e">
        <f t="shared" ref="I3:I9" si="0">H3*2</f>
        <v>#REF!</v>
      </c>
      <c r="J3" s="42" t="e">
        <f>中概互联实时折溢价!#REF!</f>
        <v>#REF!</v>
      </c>
      <c r="K3" s="40"/>
    </row>
    <row r="4" spans="1:11" ht="15" customHeight="1" x14ac:dyDescent="0.25">
      <c r="A4" s="37" t="s">
        <v>140</v>
      </c>
      <c r="B4" s="37" t="s">
        <v>143</v>
      </c>
      <c r="C4" s="37" t="s">
        <v>142</v>
      </c>
      <c r="D4" s="83" t="s">
        <v>310</v>
      </c>
      <c r="E4" s="66"/>
      <c r="F4" s="34" t="s">
        <v>175</v>
      </c>
      <c r="G4" s="82">
        <f>RTD("wdf.rtq",,"1810.HK","PctChg")/100-0</f>
        <v>-1.6300000000000002E-2</v>
      </c>
      <c r="H4" s="35" t="e">
        <f>B5*H2/C2*J4/中概互联实时折溢价!#REF!</f>
        <v>#REF!</v>
      </c>
      <c r="I4" s="35" t="e">
        <f t="shared" si="0"/>
        <v>#REF!</v>
      </c>
      <c r="J4" s="42" t="e">
        <f>中概互联实时折溢价!#REF!</f>
        <v>#REF!</v>
      </c>
      <c r="K4" s="40"/>
    </row>
    <row r="5" spans="1:11" ht="15" customHeight="1" x14ac:dyDescent="0.25">
      <c r="A5" s="43" t="s">
        <v>134</v>
      </c>
      <c r="B5" s="84">
        <f>RTD("wdf.rtq",,A5,"Ask_Price1")-0</f>
        <v>1.042</v>
      </c>
      <c r="C5" s="85" t="e">
        <f>中概互联实时折溢价!#REF!</f>
        <v>#REF!</v>
      </c>
      <c r="D5" s="83"/>
      <c r="E5" s="39"/>
      <c r="G5" s="37" t="s">
        <v>312</v>
      </c>
      <c r="H5" s="35" t="e">
        <f>B5*H2/C2*J5/中概互联实时折溢价!#REF!</f>
        <v>#REF!</v>
      </c>
      <c r="I5" s="35" t="e">
        <f t="shared" si="0"/>
        <v>#REF!</v>
      </c>
      <c r="J5" s="42" t="e">
        <f>中概互联实时折溢价!#REF!</f>
        <v>#REF!</v>
      </c>
      <c r="K5" s="40"/>
    </row>
    <row r="6" spans="1:11" ht="15" customHeight="1" x14ac:dyDescent="0.25">
      <c r="A6" s="44" t="s">
        <v>141</v>
      </c>
      <c r="B6" s="84">
        <f>RTD("wdf.rtq",,A5,"Bid_Price1")-0</f>
        <v>1.0409999999999999</v>
      </c>
      <c r="C6" s="85" t="e">
        <f>中概互联实时折溢价!#REF!</f>
        <v>#REF!</v>
      </c>
      <c r="D6" s="86" t="e">
        <f>中概互联实时折溢价!#REF!</f>
        <v>#REF!</v>
      </c>
      <c r="F6" s="34" t="s">
        <v>168</v>
      </c>
      <c r="G6" s="82" t="e">
        <f>中概互联实时折溢价!#REF!</f>
        <v>#REF!</v>
      </c>
      <c r="H6" s="35" t="e">
        <f>B5*H2/C2*J6/中概互联实时折溢价!#REF!</f>
        <v>#REF!</v>
      </c>
      <c r="I6" s="35" t="e">
        <f t="shared" si="0"/>
        <v>#REF!</v>
      </c>
      <c r="J6" s="42" t="e">
        <f>中概互联实时折溢价!#REF!</f>
        <v>#REF!</v>
      </c>
      <c r="K6" s="40"/>
    </row>
    <row r="7" spans="1:11" ht="15" customHeight="1" x14ac:dyDescent="0.25">
      <c r="A7" s="45" t="s">
        <v>144</v>
      </c>
      <c r="B7" s="87">
        <f>RTD("wdf.rtq",,A7,"Ask_Price1")</f>
        <v>1.4770000000000001</v>
      </c>
      <c r="C7" s="88" t="e">
        <f>纳指ETF折溢价!#REF!+0</f>
        <v>#REF!</v>
      </c>
      <c r="D7" s="83"/>
      <c r="E7" s="68"/>
      <c r="F7" s="34" t="s">
        <v>169</v>
      </c>
      <c r="G7" s="82" t="e">
        <f>中概互联实时折溢价!#REF!</f>
        <v>#REF!</v>
      </c>
      <c r="H7" s="35" t="e">
        <f>B5*H2/C2*J7/中概互联实时折溢价!#REF!</f>
        <v>#REF!</v>
      </c>
      <c r="I7" s="35" t="e">
        <f t="shared" si="0"/>
        <v>#REF!</v>
      </c>
      <c r="J7" s="42" t="e">
        <f>中概互联实时折溢价!#REF!</f>
        <v>#REF!</v>
      </c>
      <c r="K7" s="35"/>
    </row>
    <row r="8" spans="1:11" ht="15" customHeight="1" x14ac:dyDescent="0.25">
      <c r="A8" s="46" t="s">
        <v>161</v>
      </c>
      <c r="B8" s="87">
        <f>RTD("wdf.rtq",,A7,"Bid_Price1")</f>
        <v>1.476</v>
      </c>
      <c r="C8" s="88" t="e">
        <f>纳指ETF折溢价!#REF!</f>
        <v>#REF!</v>
      </c>
      <c r="D8" s="86" t="e">
        <f>纳指ETF折溢价!#REF!</f>
        <v>#REF!</v>
      </c>
      <c r="E8" s="68"/>
      <c r="F8" s="34" t="s">
        <v>191</v>
      </c>
      <c r="G8" s="82" t="e">
        <f>中概互联实时折溢价!#REF!</f>
        <v>#REF!</v>
      </c>
      <c r="H8" s="35" t="e">
        <f>B5*H2/C2*J8/中概互联实时折溢价!#REF!</f>
        <v>#REF!</v>
      </c>
      <c r="I8" s="35" t="e">
        <f t="shared" si="0"/>
        <v>#REF!</v>
      </c>
      <c r="J8" s="42" t="e">
        <f>中概互联实时折溢价!#REF!</f>
        <v>#REF!</v>
      </c>
      <c r="K8" s="35"/>
    </row>
    <row r="9" spans="1:11" ht="15" customHeight="1" x14ac:dyDescent="0.25">
      <c r="F9" s="34" t="s">
        <v>160</v>
      </c>
      <c r="G9" s="82" t="e">
        <f>中概互联实时折溢价!#REF!</f>
        <v>#REF!</v>
      </c>
      <c r="H9" s="35" t="e">
        <f>B5*H2/C2*J9/中概互联实时折溢价!#REF!</f>
        <v>#REF!</v>
      </c>
      <c r="I9" s="35" t="e">
        <f t="shared" si="0"/>
        <v>#REF!</v>
      </c>
      <c r="J9" s="42" t="e">
        <f>中概互联实时折溢价!#REF!</f>
        <v>#REF!</v>
      </c>
      <c r="K9" s="35"/>
    </row>
    <row r="10" spans="1:11" ht="15" customHeight="1" x14ac:dyDescent="0.25"/>
    <row r="11" spans="1:11" ht="15" customHeight="1" x14ac:dyDescent="0.25">
      <c r="F11" s="47"/>
    </row>
    <row r="12" spans="1:11" ht="15" customHeight="1" x14ac:dyDescent="0.25"/>
    <row r="13" spans="1:11" ht="15" customHeight="1" x14ac:dyDescent="0.25"/>
    <row r="14" spans="1:11" ht="15" customHeight="1" x14ac:dyDescent="0.25"/>
    <row r="29" spans="16:16" x14ac:dyDescent="0.25">
      <c r="P29" s="36" t="s">
        <v>283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26"/>
  <sheetViews>
    <sheetView workbookViewId="0">
      <selection activeCell="E7" sqref="E7"/>
    </sheetView>
  </sheetViews>
  <sheetFormatPr defaultColWidth="9.1796875" defaultRowHeight="14" x14ac:dyDescent="0.25"/>
  <cols>
    <col min="1" max="1" width="15.453125" style="10" bestFit="1" customWidth="1"/>
    <col min="2" max="2" width="13.1796875" style="10" bestFit="1" customWidth="1"/>
    <col min="3" max="3" width="13.81640625" style="10" bestFit="1" customWidth="1"/>
    <col min="4" max="5" width="11.54296875" style="13" bestFit="1" customWidth="1"/>
    <col min="6" max="6" width="13.1796875" style="10" customWidth="1"/>
    <col min="7" max="7" width="12.7265625" style="10" bestFit="1" customWidth="1"/>
    <col min="8" max="8" width="15.7265625" style="10" bestFit="1" customWidth="1"/>
    <col min="9" max="9" width="13.54296875" style="10" customWidth="1"/>
    <col min="10" max="10" width="11.26953125" style="10" customWidth="1"/>
    <col min="11" max="11" width="13.81640625" style="10" bestFit="1" customWidth="1"/>
    <col min="12" max="12" width="11.54296875" style="10" bestFit="1" customWidth="1"/>
    <col min="13" max="13" width="9.1796875" style="10"/>
    <col min="14" max="14" width="13.26953125" style="10" bestFit="1" customWidth="1"/>
    <col min="15" max="15" width="10.7265625" style="10" bestFit="1" customWidth="1"/>
    <col min="16" max="19" width="15.7265625" style="10" bestFit="1" customWidth="1"/>
    <col min="20" max="20" width="13.26953125" style="10" bestFit="1" customWidth="1"/>
    <col min="21" max="16384" width="9.1796875" style="10"/>
  </cols>
  <sheetData>
    <row r="1" spans="1:11" x14ac:dyDescent="0.25">
      <c r="D1" s="14" t="s">
        <v>306</v>
      </c>
      <c r="E1" s="14" t="s">
        <v>146</v>
      </c>
      <c r="F1" s="7"/>
      <c r="G1" s="7"/>
    </row>
    <row r="2" spans="1:11" s="8" customFormat="1" ht="17.5" x14ac:dyDescent="0.25">
      <c r="A2" s="7" t="s">
        <v>137</v>
      </c>
      <c r="B2" s="11">
        <v>45489</v>
      </c>
      <c r="C2" s="7" t="s">
        <v>147</v>
      </c>
      <c r="D2" s="29">
        <f>监控界面!B2</f>
        <v>7.2743000000000002</v>
      </c>
      <c r="E2" s="29">
        <f>监控界面!C2+0</f>
        <v>0.93180000000000007</v>
      </c>
      <c r="F2" s="13"/>
      <c r="G2" s="13"/>
      <c r="H2" s="65"/>
      <c r="I2" s="7"/>
    </row>
    <row r="3" spans="1:11" ht="17.5" x14ac:dyDescent="0.25">
      <c r="A3" s="7" t="s">
        <v>138</v>
      </c>
      <c r="B3" s="9">
        <v>45488</v>
      </c>
      <c r="C3" s="7" t="s">
        <v>148</v>
      </c>
      <c r="D3" s="12">
        <f>[1]!s_dq_close("USDCNY.EX",B3,1)</f>
        <v>7.1313000000000004</v>
      </c>
      <c r="E3" s="12">
        <f>[1]!s_dq_close("HKDCNY.EX",B3,1)</f>
        <v>0.91332999999999998</v>
      </c>
      <c r="H3" s="60"/>
    </row>
    <row r="4" spans="1:11" ht="17.5" x14ac:dyDescent="0.25">
      <c r="A4" s="7" t="s">
        <v>139</v>
      </c>
      <c r="B4" s="9">
        <v>45485</v>
      </c>
      <c r="C4" s="7" t="s">
        <v>148</v>
      </c>
      <c r="D4" s="12">
        <f>[1]!s_dq_close("USDCNY.EX",B4,1)</f>
        <v>7.1315</v>
      </c>
      <c r="E4" s="12">
        <f>[1]!s_dq_close("HKDCNY.EX",B4,1)</f>
        <v>0.91339000000000004</v>
      </c>
      <c r="F4" s="13"/>
      <c r="G4" s="13"/>
      <c r="H4" s="15"/>
      <c r="I4" s="12"/>
      <c r="J4" s="17"/>
    </row>
    <row r="5" spans="1:11" x14ac:dyDescent="0.25">
      <c r="A5" s="89" t="s">
        <v>313</v>
      </c>
      <c r="B5" s="11">
        <v>45482</v>
      </c>
      <c r="C5" s="7" t="s">
        <v>148</v>
      </c>
      <c r="D5" s="12">
        <f>[1]!s_dq_close("USDCNY.EX",B5,1)</f>
        <v>7.1310000000000002</v>
      </c>
      <c r="E5" s="12">
        <f>[1]!s_dq_close("HKDCNY.EX",B5,1)</f>
        <v>0.91303999999999996</v>
      </c>
      <c r="F5" s="13"/>
      <c r="G5" s="13"/>
      <c r="H5" s="12"/>
      <c r="I5" s="12"/>
    </row>
    <row r="6" spans="1:11" ht="20" x14ac:dyDescent="0.25">
      <c r="A6" s="8"/>
      <c r="B6" s="16"/>
      <c r="C6" s="18"/>
      <c r="D6" s="14"/>
      <c r="E6" s="16"/>
      <c r="F6" s="18"/>
      <c r="G6" s="28"/>
      <c r="H6" s="28"/>
      <c r="I6" s="7"/>
      <c r="K6" s="32"/>
    </row>
    <row r="7" spans="1:11" ht="17.5" x14ac:dyDescent="0.25">
      <c r="A7" s="8"/>
      <c r="C7" s="29"/>
      <c r="D7" s="12"/>
      <c r="F7" s="12"/>
      <c r="H7" s="33"/>
      <c r="I7" s="17"/>
      <c r="J7" s="17"/>
      <c r="K7" s="13"/>
    </row>
    <row r="8" spans="1:11" ht="17.5" x14ac:dyDescent="0.25">
      <c r="A8" s="8"/>
      <c r="C8" s="60"/>
      <c r="D8" s="12"/>
      <c r="H8" s="15"/>
      <c r="I8" s="17"/>
      <c r="J8" s="17"/>
      <c r="K8" s="13"/>
    </row>
    <row r="9" spans="1:11" x14ac:dyDescent="0.25">
      <c r="I9" s="17"/>
    </row>
    <row r="10" spans="1:11" ht="17.5" x14ac:dyDescent="0.25">
      <c r="A10" s="8"/>
      <c r="D10" s="31"/>
      <c r="E10" s="10"/>
      <c r="G10" s="12"/>
      <c r="H10" s="15"/>
      <c r="I10" s="17"/>
      <c r="K10" s="25"/>
    </row>
    <row r="12" spans="1:11" x14ac:dyDescent="0.25">
      <c r="A12" s="21"/>
      <c r="B12" s="22"/>
      <c r="C12" s="21"/>
      <c r="D12" s="2"/>
      <c r="E12" s="23"/>
      <c r="F12" s="23"/>
      <c r="G12" s="23"/>
      <c r="H12" s="26"/>
      <c r="I12" s="1"/>
      <c r="J12" s="1"/>
    </row>
    <row r="13" spans="1:11" x14ac:dyDescent="0.25">
      <c r="A13" s="4"/>
      <c r="B13" s="6"/>
      <c r="C13" s="24"/>
      <c r="D13" s="4"/>
      <c r="E13" s="25"/>
      <c r="F13" s="25"/>
      <c r="G13" s="25"/>
      <c r="H13" s="4"/>
      <c r="I13" s="25"/>
      <c r="J13" s="25"/>
    </row>
    <row r="14" spans="1:11" x14ac:dyDescent="0.25">
      <c r="A14" s="22"/>
    </row>
    <row r="15" spans="1:11" x14ac:dyDescent="0.25">
      <c r="A15" s="30"/>
      <c r="B15" s="30"/>
      <c r="H15" s="27"/>
    </row>
    <row r="19" spans="1:17" x14ac:dyDescent="0.25">
      <c r="I19" s="6"/>
    </row>
    <row r="22" spans="1:17" x14ac:dyDescent="0.25">
      <c r="C22" s="7"/>
      <c r="D22" s="14"/>
      <c r="E22" s="14"/>
    </row>
    <row r="23" spans="1:17" ht="17.5" x14ac:dyDescent="0.25">
      <c r="A23" s="8"/>
      <c r="C23" s="12"/>
      <c r="D23" s="12"/>
      <c r="F23" s="12"/>
      <c r="H23" s="33"/>
      <c r="I23" s="17"/>
      <c r="Q23" s="13"/>
    </row>
    <row r="24" spans="1:17" ht="17.5" x14ac:dyDescent="0.25">
      <c r="A24" s="8"/>
      <c r="C24" s="60"/>
      <c r="D24" s="12"/>
      <c r="H24" s="15"/>
      <c r="I24" s="15"/>
    </row>
    <row r="26" spans="1:17" ht="17.5" x14ac:dyDescent="0.25">
      <c r="H26" s="15"/>
      <c r="I26" s="6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Y61"/>
  <sheetViews>
    <sheetView tabSelected="1" topLeftCell="Z2" zoomScale="261" zoomScaleNormal="198" workbookViewId="0">
      <selection activeCell="AC3" sqref="AC3"/>
    </sheetView>
  </sheetViews>
  <sheetFormatPr defaultColWidth="9.1796875" defaultRowHeight="13" x14ac:dyDescent="0.25"/>
  <cols>
    <col min="1" max="1" width="16.6328125" style="48" customWidth="1"/>
    <col min="2" max="2" width="12.6328125" style="49" customWidth="1"/>
    <col min="3" max="3" width="13.6328125" style="49" customWidth="1"/>
    <col min="4" max="4" width="14.6328125" style="49" customWidth="1"/>
    <col min="5" max="5" width="16.6328125" style="49" customWidth="1"/>
    <col min="6" max="6" width="14.6328125" style="49" customWidth="1"/>
    <col min="7" max="7" width="11.6328125" style="49" customWidth="1"/>
    <col min="8" max="8" width="9" style="49" customWidth="1"/>
    <col min="9" max="9" width="16.453125" style="59" customWidth="1"/>
    <col min="10" max="10" width="12.54296875" style="49" customWidth="1"/>
    <col min="11" max="11" width="15.7265625" style="49" customWidth="1"/>
    <col min="12" max="12" width="6.7265625" style="49" customWidth="1"/>
    <col min="13" max="13" width="15.453125" style="49" customWidth="1"/>
    <col min="14" max="14" width="9.1796875" style="49"/>
    <col min="15" max="15" width="12.81640625" style="49" customWidth="1"/>
    <col min="16" max="16" width="17.453125" style="49" customWidth="1"/>
    <col min="17" max="17" width="13.453125" style="49" customWidth="1"/>
    <col min="18" max="18" width="14.453125" style="49" customWidth="1"/>
    <col min="19" max="19" width="14.26953125" style="49" bestFit="1" customWidth="1"/>
    <col min="20" max="20" width="10.36328125" style="49" customWidth="1"/>
    <col min="21" max="21" width="11.36328125" style="49" bestFit="1" customWidth="1"/>
    <col min="22" max="25" width="12.54296875" style="49" customWidth="1"/>
    <col min="26" max="26" width="18.08984375" style="49" customWidth="1"/>
    <col min="27" max="28" width="12.54296875" style="49" customWidth="1"/>
    <col min="29" max="29" width="20.90625" style="49" customWidth="1"/>
    <col min="30" max="30" width="17.1796875" style="49" customWidth="1"/>
    <col min="31" max="31" width="19.54296875" style="49" customWidth="1"/>
    <col min="32" max="33" width="17.1796875" style="49" customWidth="1"/>
    <col min="34" max="34" width="11.7265625" style="49" customWidth="1"/>
    <col min="35" max="37" width="9.26953125" style="49" bestFit="1" customWidth="1"/>
    <col min="38" max="38" width="9.1796875" style="49"/>
    <col min="39" max="39" width="9.1796875" style="48"/>
    <col min="40" max="40" width="13.54296875" style="49" customWidth="1"/>
    <col min="41" max="41" width="13.90625" style="49" bestFit="1" customWidth="1"/>
    <col min="42" max="43" width="12.26953125" style="49" bestFit="1" customWidth="1"/>
    <col min="44" max="44" width="12.08984375" style="49" bestFit="1" customWidth="1"/>
    <col min="45" max="45" width="11.54296875" style="49" bestFit="1" customWidth="1"/>
    <col min="46" max="46" width="14.90625" style="49" bestFit="1" customWidth="1"/>
    <col min="47" max="47" width="11.26953125" style="49" customWidth="1"/>
    <col min="48" max="48" width="10.6328125" style="49" bestFit="1" customWidth="1"/>
    <col min="49" max="49" width="9.90625" style="49" bestFit="1" customWidth="1"/>
    <col min="50" max="50" width="11.7265625" style="49" bestFit="1" customWidth="1"/>
    <col min="51" max="51" width="10.81640625" style="49" customWidth="1"/>
    <col min="52" max="16384" width="9.1796875" style="49"/>
  </cols>
  <sheetData>
    <row r="1" spans="1:50" ht="27.75" customHeight="1" x14ac:dyDescent="0.25">
      <c r="A1" s="71" t="s">
        <v>0</v>
      </c>
      <c r="B1" s="72" t="s">
        <v>314</v>
      </c>
      <c r="C1" s="73"/>
      <c r="I1" s="49"/>
    </row>
    <row r="2" spans="1:50" x14ac:dyDescent="0.25">
      <c r="A2" s="71" t="s">
        <v>229</v>
      </c>
      <c r="B2" s="51" t="s">
        <v>415</v>
      </c>
      <c r="C2" s="50"/>
      <c r="E2" s="49">
        <v>20240716</v>
      </c>
      <c r="F2" s="93">
        <v>45492</v>
      </c>
      <c r="I2" s="49"/>
      <c r="T2" s="49" t="s">
        <v>416</v>
      </c>
      <c r="U2" s="49" t="s">
        <v>327</v>
      </c>
      <c r="V2" s="49" t="s">
        <v>328</v>
      </c>
    </row>
    <row r="3" spans="1:50" x14ac:dyDescent="0.25">
      <c r="A3" s="71" t="s">
        <v>3</v>
      </c>
      <c r="B3" s="51" t="s">
        <v>309</v>
      </c>
      <c r="I3" s="49"/>
      <c r="O3" s="49" t="s">
        <v>396</v>
      </c>
      <c r="Q3" s="117" t="s">
        <v>393</v>
      </c>
      <c r="R3" s="117">
        <f>SUMPRODUCT(Q6:Q38,D6:D38)</f>
        <v>1016751.0294477001</v>
      </c>
      <c r="T3" s="49">
        <f>SUMPRODUCT(S6:S38,D6:D38)</f>
        <v>1021069.1966299003</v>
      </c>
      <c r="U3" s="128">
        <f>T3/I6 -1</f>
        <v>2.1632391918593452E-2</v>
      </c>
      <c r="V3" s="109">
        <f>[1]!f_nav_unit($B$3,$F$2)</f>
        <v>0.99929999999999997</v>
      </c>
    </row>
    <row r="4" spans="1:50" ht="13.5" thickBot="1" x14ac:dyDescent="0.3">
      <c r="A4" s="49" t="s">
        <v>4</v>
      </c>
      <c r="B4" s="51" t="s">
        <v>5</v>
      </c>
      <c r="C4" s="49" t="s">
        <v>6</v>
      </c>
      <c r="D4" s="49" t="s">
        <v>7</v>
      </c>
      <c r="E4" s="49" t="s">
        <v>8</v>
      </c>
      <c r="F4" s="49" t="s">
        <v>9</v>
      </c>
      <c r="G4" s="49" t="s">
        <v>308</v>
      </c>
      <c r="I4" s="49"/>
    </row>
    <row r="5" spans="1:50" ht="29.25" customHeight="1" x14ac:dyDescent="0.25">
      <c r="A5" s="71" t="s">
        <v>2</v>
      </c>
      <c r="B5" s="71" t="s">
        <v>3</v>
      </c>
      <c r="C5" s="71" t="s">
        <v>11</v>
      </c>
      <c r="D5" s="71" t="s">
        <v>12</v>
      </c>
      <c r="E5" s="71" t="s">
        <v>13</v>
      </c>
      <c r="F5" s="74" t="s">
        <v>14</v>
      </c>
      <c r="G5" s="71" t="s">
        <v>15</v>
      </c>
      <c r="H5" s="90"/>
      <c r="I5" s="49">
        <v>19</v>
      </c>
      <c r="M5" s="94" t="s">
        <v>2</v>
      </c>
      <c r="N5" s="94" t="s">
        <v>325</v>
      </c>
      <c r="O5" s="50">
        <v>45489</v>
      </c>
      <c r="P5" s="50">
        <v>45490</v>
      </c>
      <c r="Q5" s="50">
        <v>45491</v>
      </c>
      <c r="R5" s="50">
        <v>45492</v>
      </c>
      <c r="S5" s="50">
        <v>45495</v>
      </c>
      <c r="T5" s="50">
        <v>45496</v>
      </c>
      <c r="U5" s="49" t="s">
        <v>329</v>
      </c>
      <c r="V5" s="49" t="s">
        <v>336</v>
      </c>
      <c r="W5" s="49" t="s">
        <v>346</v>
      </c>
      <c r="X5" s="49" t="s">
        <v>369</v>
      </c>
      <c r="Y5" s="49" t="s">
        <v>370</v>
      </c>
      <c r="Z5" s="49" t="s">
        <v>327</v>
      </c>
      <c r="AA5" s="99" t="s">
        <v>371</v>
      </c>
      <c r="AB5" s="100" t="s">
        <v>372</v>
      </c>
      <c r="AC5" s="101" t="s">
        <v>373</v>
      </c>
      <c r="AD5" s="94" t="s">
        <v>340</v>
      </c>
      <c r="AE5" s="94" t="s">
        <v>341</v>
      </c>
      <c r="AF5" s="94" t="s">
        <v>342</v>
      </c>
      <c r="AG5" s="94" t="s">
        <v>358</v>
      </c>
      <c r="AH5" s="94" t="s">
        <v>330</v>
      </c>
      <c r="AI5" s="94" t="s">
        <v>26</v>
      </c>
      <c r="AJ5" s="94" t="s">
        <v>189</v>
      </c>
      <c r="AK5" s="94" t="s">
        <v>331</v>
      </c>
      <c r="AL5" s="94"/>
    </row>
    <row r="6" spans="1:50" ht="13.5" thickBot="1" x14ac:dyDescent="0.3">
      <c r="A6" s="3">
        <f>[1]!wset("etfconstituent","date="&amp;B2,"windcode="&amp;B3,"field=date,wind_code,sec_name,volume,cash_substitution_mark,cash_substitution_premium_ratio,fixed_substitution_amount","cols=7;rows=43","cols=7;rows=43","cols=7;rows=33")</f>
        <v>45496</v>
      </c>
      <c r="B6" s="52" t="s">
        <v>316</v>
      </c>
      <c r="C6" s="52" t="s">
        <v>320</v>
      </c>
      <c r="D6" s="58">
        <v>942</v>
      </c>
      <c r="E6" s="52" t="s">
        <v>319</v>
      </c>
      <c r="F6" s="58">
        <v>10</v>
      </c>
      <c r="G6" s="53">
        <v>2838.49</v>
      </c>
      <c r="H6" s="55"/>
      <c r="I6" s="96">
        <f>SUM(G6:G38)</f>
        <v>999448.72999999986</v>
      </c>
      <c r="K6" s="94" t="s">
        <v>323</v>
      </c>
      <c r="L6" s="94" t="s">
        <v>324</v>
      </c>
      <c r="M6" s="94" t="str">
        <f>[1]!s_info_name(N6)</f>
        <v>阿里健康</v>
      </c>
      <c r="N6" s="94" t="s">
        <v>337</v>
      </c>
      <c r="O6" s="95">
        <f>[1]!WSD(N6:N38,L6,"2024-07-16","","TradingCalendar=SSE","Currency=CNY","rptType=1","Direction=V","ShowParams=Y","cols=6;rows=33")</f>
        <v>2.8780919999999997</v>
      </c>
      <c r="P6" s="95">
        <v>3.1244436000000002</v>
      </c>
      <c r="Q6" s="95">
        <v>3.0956462999999999</v>
      </c>
      <c r="R6" s="95">
        <v>3.0132630000000002</v>
      </c>
      <c r="S6" s="127">
        <v>3.0413888999999998</v>
      </c>
      <c r="T6" s="95">
        <v>3.0428541</v>
      </c>
      <c r="U6" s="49">
        <f>V3*(1+U3)</f>
        <v>1.0209172492442504</v>
      </c>
      <c r="V6" s="49">
        <f>RTD("wdf.rtq", ,"0241.HK", "rt_last","RT_Price")</f>
        <v>3.25</v>
      </c>
      <c r="W6" s="110">
        <f>V6*$AE$7</f>
        <v>3.0283500000000001</v>
      </c>
      <c r="X6" s="49">
        <f>W6*D6</f>
        <v>2852.7057</v>
      </c>
      <c r="Y6" s="49">
        <f>SUM(X6:X38)</f>
        <v>1025894.5905501043</v>
      </c>
      <c r="Z6" s="108">
        <f>(Y6-T3)/T3</f>
        <v>4.7258245926236151E-3</v>
      </c>
      <c r="AA6" s="102">
        <f>U6*(1+Z6)</f>
        <v>1.0257419250877626</v>
      </c>
      <c r="AB6" s="103">
        <f>RTD("wdf.rtq", ,"513050.SH", "rt_last","RT_Price")</f>
        <v>1.042</v>
      </c>
      <c r="AC6" s="107">
        <f>(AB6-AA6)/AA6</f>
        <v>1.5850063758334108E-2</v>
      </c>
      <c r="AD6" s="94" t="s">
        <v>343</v>
      </c>
      <c r="AE6" s="111" t="s">
        <v>344</v>
      </c>
      <c r="AF6" s="111" t="s">
        <v>345</v>
      </c>
      <c r="AG6" s="111" t="s">
        <v>359</v>
      </c>
      <c r="AH6" s="94" t="s">
        <v>332</v>
      </c>
      <c r="AI6" s="94" t="s">
        <v>27</v>
      </c>
      <c r="AJ6" s="94" t="s">
        <v>190</v>
      </c>
      <c r="AK6" s="94" t="s">
        <v>333</v>
      </c>
      <c r="AL6" s="94"/>
    </row>
    <row r="7" spans="1:50" ht="13.5" thickBot="1" x14ac:dyDescent="0.3">
      <c r="A7" s="54">
        <v>45496</v>
      </c>
      <c r="B7" s="52" t="s">
        <v>164</v>
      </c>
      <c r="C7" s="52" t="s">
        <v>165</v>
      </c>
      <c r="D7" s="58">
        <v>916</v>
      </c>
      <c r="E7" s="52" t="s">
        <v>16</v>
      </c>
      <c r="F7" s="58">
        <v>10</v>
      </c>
      <c r="G7" s="53">
        <v>304452.78999999998</v>
      </c>
      <c r="H7" s="55"/>
      <c r="I7" s="49"/>
      <c r="M7" s="94" t="str">
        <f>[1]!s_info_name(N7)</f>
        <v>腾讯控股</v>
      </c>
      <c r="N7" s="94" t="s">
        <v>374</v>
      </c>
      <c r="O7" s="95">
        <v>345.37103999999999</v>
      </c>
      <c r="P7" s="95">
        <v>339.66904400000004</v>
      </c>
      <c r="Q7" s="95">
        <v>337.14236399999999</v>
      </c>
      <c r="R7" s="95">
        <v>332.37204000000003</v>
      </c>
      <c r="S7" s="95">
        <v>340.85475599999995</v>
      </c>
      <c r="T7" s="95">
        <v>341.01896399999998</v>
      </c>
      <c r="V7" s="49">
        <f>RTD("wdf.rtq", ,"0700.HK", "rt_last","RT_Price")</f>
        <v>368</v>
      </c>
      <c r="W7" s="110">
        <f t="shared" ref="W7:W25" si="0">V7*$AE$7</f>
        <v>342.9024</v>
      </c>
      <c r="X7" s="49">
        <f t="shared" ref="X7:X38" si="1">W7*D7</f>
        <v>314098.59840000002</v>
      </c>
      <c r="AD7" s="94" t="s">
        <v>334</v>
      </c>
      <c r="AE7" s="97">
        <f>RTD("wdf.rtq", ,"HKDCNY.IB", "rt_last","RT_Price")</f>
        <v>0.93180000000000007</v>
      </c>
      <c r="AF7" s="97">
        <f>RTD("wdf.rtq", ,"USDCNY.IB", "rt_last","RT_Price")</f>
        <v>7.2743000000000002</v>
      </c>
      <c r="AG7" s="97">
        <f>RTD("wdf.rtq", ,"USDHKD.IB", "rt_last","RT_Price")</f>
        <v>7.8066800000000001</v>
      </c>
      <c r="AH7" s="94" t="s">
        <v>334</v>
      </c>
      <c r="AI7" s="97">
        <f>RTD("wdf.rtq", ,"WB.O", "rt_last","RT_Price")</f>
        <v>7.95</v>
      </c>
      <c r="AJ7" s="97">
        <f>RTD("wdf.rtq", ,"1024.HK", "rt_last","RT_Price")</f>
        <v>44.75</v>
      </c>
      <c r="AK7" s="97">
        <f>RTD("wdf.rtq", ,"000625.SZ", "rt_last","RT_Price")</f>
        <v>15.24</v>
      </c>
      <c r="AL7" s="97"/>
      <c r="AM7" s="98"/>
    </row>
    <row r="8" spans="1:50" x14ac:dyDescent="0.25">
      <c r="A8" s="54">
        <v>45496</v>
      </c>
      <c r="B8" s="52" t="s">
        <v>30</v>
      </c>
      <c r="C8" s="52" t="s">
        <v>31</v>
      </c>
      <c r="D8" s="58">
        <v>75</v>
      </c>
      <c r="E8" s="52" t="s">
        <v>16</v>
      </c>
      <c r="F8" s="58">
        <v>10</v>
      </c>
      <c r="G8" s="53">
        <v>1760.02</v>
      </c>
      <c r="H8" s="55"/>
      <c r="I8" s="49"/>
      <c r="K8" s="104"/>
      <c r="M8" s="94" t="str">
        <f>[1]!s_info_name(N8)</f>
        <v>阅文集团</v>
      </c>
      <c r="N8" s="94" t="s">
        <v>375</v>
      </c>
      <c r="O8" s="95">
        <v>23.801364</v>
      </c>
      <c r="P8" s="95">
        <v>23.981475000000003</v>
      </c>
      <c r="Q8" s="95">
        <v>23.970712499999998</v>
      </c>
      <c r="R8" s="95">
        <v>23.466927000000002</v>
      </c>
      <c r="S8" s="95">
        <v>24.066245500000001</v>
      </c>
      <c r="T8" s="95">
        <v>24.0778395</v>
      </c>
      <c r="V8" s="49">
        <f>RTD("wdf.rtq", ,"0772.HK", "rt_last","RT_Price")</f>
        <v>25.85</v>
      </c>
      <c r="W8" s="110">
        <f t="shared" si="0"/>
        <v>24.087030000000002</v>
      </c>
      <c r="X8" s="49">
        <f t="shared" si="1"/>
        <v>1806.5272500000001</v>
      </c>
      <c r="AA8" s="99" t="s">
        <v>410</v>
      </c>
      <c r="AB8" s="100" t="s">
        <v>372</v>
      </c>
      <c r="AC8" s="101" t="s">
        <v>373</v>
      </c>
      <c r="AO8" s="129" t="s">
        <v>323</v>
      </c>
    </row>
    <row r="9" spans="1:50" ht="13.5" thickBot="1" x14ac:dyDescent="0.3">
      <c r="A9" s="61">
        <v>45496</v>
      </c>
      <c r="B9" s="62" t="s">
        <v>158</v>
      </c>
      <c r="C9" s="62" t="s">
        <v>243</v>
      </c>
      <c r="D9" s="63">
        <v>198</v>
      </c>
      <c r="E9" s="62" t="s">
        <v>16</v>
      </c>
      <c r="F9" s="63">
        <v>10</v>
      </c>
      <c r="G9" s="64">
        <v>2487.75</v>
      </c>
      <c r="H9" s="55"/>
      <c r="I9" s="49"/>
      <c r="M9" s="94" t="str">
        <f>[1]!s_info_name(N9)</f>
        <v>同程旅行</v>
      </c>
      <c r="N9" s="105" t="s">
        <v>376</v>
      </c>
      <c r="O9" s="95">
        <v>13.6686528</v>
      </c>
      <c r="P9" s="95">
        <v>13.612342000000002</v>
      </c>
      <c r="Q9" s="95">
        <v>13.3688088</v>
      </c>
      <c r="R9" s="95">
        <v>12.564393600000001</v>
      </c>
      <c r="S9" s="95">
        <v>12.768353400000001</v>
      </c>
      <c r="T9" s="95">
        <v>12.7745046</v>
      </c>
      <c r="V9" s="49">
        <f>RTD("wdf.rtq", ,"0780.HK", "rt_last","RT_Price")</f>
        <v>13.72</v>
      </c>
      <c r="W9" s="110">
        <f t="shared" si="0"/>
        <v>12.784296000000001</v>
      </c>
      <c r="X9" s="49">
        <f t="shared" si="1"/>
        <v>2531.2906080000002</v>
      </c>
      <c r="AA9" s="124">
        <v>1.0166999999999999</v>
      </c>
      <c r="AB9" s="103">
        <f>RTD("wdf.rtq", ,"513050.SH", "rt_last","RT_Price")</f>
        <v>1.042</v>
      </c>
      <c r="AC9" s="107">
        <f>(AB9-AA9)/AA9</f>
        <v>2.4884430018688012E-2</v>
      </c>
      <c r="AE9" s="94"/>
      <c r="AF9" s="94"/>
      <c r="AO9" s="129" t="s">
        <v>324</v>
      </c>
    </row>
    <row r="10" spans="1:50" x14ac:dyDescent="0.25">
      <c r="A10" s="61">
        <v>45496</v>
      </c>
      <c r="B10" s="62" t="s">
        <v>189</v>
      </c>
      <c r="C10" s="62" t="s">
        <v>190</v>
      </c>
      <c r="D10" s="63">
        <v>444</v>
      </c>
      <c r="E10" s="62" t="s">
        <v>16</v>
      </c>
      <c r="F10" s="63">
        <v>10</v>
      </c>
      <c r="G10" s="64">
        <v>18325.02</v>
      </c>
      <c r="H10" s="55"/>
      <c r="I10" s="49"/>
      <c r="M10" s="94" t="str">
        <f>[1]!s_info_name(N10)</f>
        <v>快手-W</v>
      </c>
      <c r="N10" s="94" t="s">
        <v>189</v>
      </c>
      <c r="O10" s="95">
        <v>42.303383999999994</v>
      </c>
      <c r="P10" s="95">
        <v>42.709865000000001</v>
      </c>
      <c r="Q10" s="95">
        <v>42.371087999999993</v>
      </c>
      <c r="R10" s="95">
        <v>41.272572000000004</v>
      </c>
      <c r="S10" s="95">
        <v>41.510848500000002</v>
      </c>
      <c r="T10" s="95">
        <v>41.530846500000003</v>
      </c>
      <c r="V10" s="49">
        <f>RTD("wdf.rtq", ,"1024.HK", "rt_last","RT_Price")</f>
        <v>44.75</v>
      </c>
      <c r="W10" s="110">
        <f t="shared" si="0"/>
        <v>41.698050000000002</v>
      </c>
      <c r="X10" s="49">
        <f t="shared" si="1"/>
        <v>18513.9342</v>
      </c>
      <c r="AE10" s="94"/>
      <c r="AF10" s="94"/>
      <c r="AN10" s="129" t="s">
        <v>2</v>
      </c>
      <c r="AO10" s="129" t="str">
        <f>[1]!s_info_name(AO11)</f>
        <v>汽车之家</v>
      </c>
      <c r="AP10" s="129" t="str">
        <f>[1]!s_info_name(AP11)</f>
        <v>贝壳</v>
      </c>
      <c r="AQ10" s="129" t="str">
        <f>[1]!s_info_name(AQ11)</f>
        <v>BOSS直聘</v>
      </c>
      <c r="AR10" s="129" t="str">
        <f>[1]!s_info_name(AR11)</f>
        <v>奇富科技</v>
      </c>
      <c r="AS10" s="129" t="str">
        <f>[1]!s_info_name(AS11)</f>
        <v>腾讯音乐</v>
      </c>
      <c r="AT10" s="129" t="str">
        <f>[1]!s_info_name(AT11)</f>
        <v>微博</v>
      </c>
      <c r="AU10" s="129" t="str">
        <f>[1]!s_info_name(AU11)</f>
        <v>阿里巴巴</v>
      </c>
      <c r="AV10" s="129" t="str">
        <f>[1]!s_info_name(AV11)</f>
        <v>百度</v>
      </c>
      <c r="AW10" s="129" t="str">
        <f>[1]!s_info_name(AW11)</f>
        <v>京东</v>
      </c>
      <c r="AX10" s="129" t="str">
        <f>[1]!s_info_name(AX11)</f>
        <v>网易</v>
      </c>
    </row>
    <row r="11" spans="1:50" ht="13.5" thickBot="1" x14ac:dyDescent="0.3">
      <c r="A11" s="61">
        <v>45496</v>
      </c>
      <c r="B11" s="62" t="s">
        <v>276</v>
      </c>
      <c r="C11" s="62" t="s">
        <v>277</v>
      </c>
      <c r="D11" s="63">
        <v>75</v>
      </c>
      <c r="E11" s="62" t="s">
        <v>16</v>
      </c>
      <c r="F11" s="63">
        <v>10</v>
      </c>
      <c r="G11" s="64">
        <v>745.1</v>
      </c>
      <c r="H11" s="55"/>
      <c r="I11" s="49"/>
      <c r="M11" s="94" t="str">
        <f>[1]!s_info_name(N11)</f>
        <v>东方甄选</v>
      </c>
      <c r="N11" s="94" t="s">
        <v>276</v>
      </c>
      <c r="O11" s="95">
        <v>10.525593599999999</v>
      </c>
      <c r="P11" s="95">
        <v>10.652342800000001</v>
      </c>
      <c r="Q11" s="95">
        <v>10.537981799999999</v>
      </c>
      <c r="R11" s="95">
        <v>9.9346368000000016</v>
      </c>
      <c r="S11" s="95">
        <v>10.704227600000001</v>
      </c>
      <c r="T11" s="95">
        <v>10.709384399999999</v>
      </c>
      <c r="V11" s="49">
        <f>RTD("wdf.rtq", ,"1797.HK", "rt_last","RT_Price")</f>
        <v>11.58</v>
      </c>
      <c r="W11" s="110">
        <f t="shared" si="0"/>
        <v>10.790244000000001</v>
      </c>
      <c r="X11" s="49">
        <f t="shared" si="1"/>
        <v>809.26830000000007</v>
      </c>
      <c r="AC11" s="94" t="s">
        <v>407</v>
      </c>
      <c r="AE11" s="94"/>
      <c r="AF11" s="97"/>
      <c r="AN11" s="129" t="s">
        <v>325</v>
      </c>
      <c r="AO11" s="129" t="s">
        <v>20</v>
      </c>
      <c r="AP11" s="129" t="s">
        <v>174</v>
      </c>
      <c r="AQ11" s="129" t="s">
        <v>417</v>
      </c>
      <c r="AR11" s="129" t="s">
        <v>192</v>
      </c>
      <c r="AS11" s="129" t="s">
        <v>153</v>
      </c>
      <c r="AT11" s="129" t="s">
        <v>418</v>
      </c>
      <c r="AU11" s="129" t="s">
        <v>335</v>
      </c>
      <c r="AV11" s="129" t="s">
        <v>401</v>
      </c>
      <c r="AW11" s="129" t="s">
        <v>402</v>
      </c>
      <c r="AX11" s="129" t="s">
        <v>403</v>
      </c>
    </row>
    <row r="12" spans="1:50" ht="13.5" thickBot="1" x14ac:dyDescent="0.3">
      <c r="A12" s="61">
        <v>45496</v>
      </c>
      <c r="B12" s="62" t="s">
        <v>172</v>
      </c>
      <c r="C12" s="62" t="s">
        <v>173</v>
      </c>
      <c r="D12" s="63">
        <v>2563</v>
      </c>
      <c r="E12" s="62" t="s">
        <v>16</v>
      </c>
      <c r="F12" s="63">
        <v>10</v>
      </c>
      <c r="G12" s="64">
        <v>38661.769999999997</v>
      </c>
      <c r="H12" s="55"/>
      <c r="I12" s="49"/>
      <c r="M12" s="94" t="str">
        <f>[1]!s_info_name(N12)</f>
        <v>小米集团-W</v>
      </c>
      <c r="N12" s="94" t="s">
        <v>172</v>
      </c>
      <c r="O12" s="95">
        <v>14.9295312</v>
      </c>
      <c r="P12" s="95">
        <v>15.329872400000003</v>
      </c>
      <c r="Q12" s="95">
        <v>15.377782799999999</v>
      </c>
      <c r="R12" s="95">
        <v>15.084577200000002</v>
      </c>
      <c r="S12" s="95">
        <v>15.727542599999998</v>
      </c>
      <c r="T12" s="95">
        <v>15.735119399999999</v>
      </c>
      <c r="V12" s="49">
        <f>RTD("wdf.rtq", ,"1810.HK", "rt_last","RT_Price")</f>
        <v>16.940000000000001</v>
      </c>
      <c r="W12" s="110">
        <f t="shared" si="0"/>
        <v>15.784692000000003</v>
      </c>
      <c r="X12" s="49">
        <f t="shared" si="1"/>
        <v>40456.165596000006</v>
      </c>
      <c r="AB12" s="99" t="s">
        <v>411</v>
      </c>
      <c r="AC12" s="125">
        <f>(AA6/AA9)-1</f>
        <v>8.8934052205791314E-3</v>
      </c>
      <c r="AM12" s="49"/>
      <c r="AN12" s="50">
        <v>45491</v>
      </c>
      <c r="AO12" s="95">
        <f>[1]!WSD(AO11:AX11,AO9,"2024-07-18","","TradingCalendar=SSE","rptType=1","ShowParams=Y","cols=10;rows=4")</f>
        <v>26.62</v>
      </c>
      <c r="AP12" s="95">
        <v>14.3</v>
      </c>
      <c r="AQ12" s="95">
        <v>16.07</v>
      </c>
      <c r="AR12" s="95">
        <v>18.93</v>
      </c>
      <c r="AS12" s="95">
        <v>14.44</v>
      </c>
      <c r="AT12" s="95">
        <v>7.9</v>
      </c>
      <c r="AU12" s="95">
        <v>76.540000000000006</v>
      </c>
      <c r="AV12" s="95">
        <v>90.9</v>
      </c>
      <c r="AW12" s="95">
        <v>26.28</v>
      </c>
      <c r="AX12" s="95">
        <v>92.56</v>
      </c>
    </row>
    <row r="13" spans="1:50" x14ac:dyDescent="0.25">
      <c r="A13" s="61">
        <v>45496</v>
      </c>
      <c r="B13" s="62" t="s">
        <v>166</v>
      </c>
      <c r="C13" s="62" t="s">
        <v>167</v>
      </c>
      <c r="D13" s="63">
        <v>98</v>
      </c>
      <c r="E13" s="62" t="s">
        <v>16</v>
      </c>
      <c r="F13" s="63">
        <v>10</v>
      </c>
      <c r="G13" s="64">
        <v>991.49</v>
      </c>
      <c r="H13" s="55"/>
      <c r="I13" s="49"/>
      <c r="M13" s="94" t="str">
        <f>[1]!s_info_name(N13)</f>
        <v>平安好医生</v>
      </c>
      <c r="N13" s="94" t="s">
        <v>166</v>
      </c>
      <c r="O13" s="95">
        <v>9.5022719999999996</v>
      </c>
      <c r="P13" s="95">
        <v>10.414812000000001</v>
      </c>
      <c r="Q13" s="95">
        <v>10.3918746</v>
      </c>
      <c r="R13" s="95">
        <v>10.117258800000002</v>
      </c>
      <c r="S13" s="95">
        <v>10.4484952</v>
      </c>
      <c r="T13" s="95">
        <v>10.453528799999999</v>
      </c>
      <c r="V13" s="49">
        <f>RTD("wdf.rtq", ,"1833.HK", "rt_last","RT_Price")</f>
        <v>11.22</v>
      </c>
      <c r="W13" s="110">
        <f t="shared" si="0"/>
        <v>10.454796000000002</v>
      </c>
      <c r="X13" s="49">
        <f t="shared" si="1"/>
        <v>1024.5700080000001</v>
      </c>
      <c r="AB13" s="99" t="s">
        <v>412</v>
      </c>
      <c r="AC13" s="126">
        <f>(AC6/AC9)-1</f>
        <v>-0.36305297141904258</v>
      </c>
      <c r="AM13" s="49"/>
      <c r="AN13" s="50">
        <v>45492</v>
      </c>
      <c r="AO13" s="95">
        <v>25.22</v>
      </c>
      <c r="AP13" s="95">
        <v>14.12</v>
      </c>
      <c r="AQ13" s="95">
        <v>15.7</v>
      </c>
      <c r="AR13" s="95">
        <v>19.239999999999998</v>
      </c>
      <c r="AS13" s="95">
        <v>14.26</v>
      </c>
      <c r="AT13" s="95">
        <v>7.65</v>
      </c>
      <c r="AU13" s="95">
        <v>75.27</v>
      </c>
      <c r="AV13" s="95">
        <v>90.37</v>
      </c>
      <c r="AW13" s="95">
        <v>26.26</v>
      </c>
      <c r="AX13" s="95">
        <v>91.35</v>
      </c>
    </row>
    <row r="14" spans="1:50" x14ac:dyDescent="0.25">
      <c r="A14" s="61">
        <v>45496</v>
      </c>
      <c r="B14" s="62" t="s">
        <v>132</v>
      </c>
      <c r="C14" s="62" t="s">
        <v>179</v>
      </c>
      <c r="D14" s="63">
        <v>912</v>
      </c>
      <c r="E14" s="62" t="s">
        <v>16</v>
      </c>
      <c r="F14" s="63">
        <v>10</v>
      </c>
      <c r="G14" s="64">
        <v>97848.87</v>
      </c>
      <c r="H14" s="55"/>
      <c r="I14" s="49"/>
      <c r="M14" s="94" t="str">
        <f>[1]!s_info_name(N14)</f>
        <v>美团-W</v>
      </c>
      <c r="N14" s="94" t="s">
        <v>132</v>
      </c>
      <c r="O14" s="95">
        <v>107.3574</v>
      </c>
      <c r="P14" s="95">
        <v>108.807378</v>
      </c>
      <c r="Q14" s="95">
        <v>109.03249799999999</v>
      </c>
      <c r="R14" s="95">
        <v>107.29042500000001</v>
      </c>
      <c r="S14" s="95">
        <v>110.786929</v>
      </c>
      <c r="T14" s="95">
        <v>110.840301</v>
      </c>
      <c r="V14" s="49">
        <f>RTD("wdf.rtq", ,"3690.HK", "rt_last","RT_Price")</f>
        <v>118.7</v>
      </c>
      <c r="W14" s="110">
        <f t="shared" si="0"/>
        <v>110.60466000000001</v>
      </c>
      <c r="X14" s="49">
        <f t="shared" si="1"/>
        <v>100871.44992000001</v>
      </c>
      <c r="AM14" s="49"/>
      <c r="AN14" s="50">
        <v>45495</v>
      </c>
      <c r="AO14" s="95">
        <v>24.98</v>
      </c>
      <c r="AP14" s="95">
        <v>14.32</v>
      </c>
      <c r="AQ14" s="95">
        <v>16.05</v>
      </c>
      <c r="AR14" s="95">
        <v>19.43</v>
      </c>
      <c r="AS14" s="95">
        <v>14.89</v>
      </c>
      <c r="AT14" s="95">
        <v>7.95</v>
      </c>
      <c r="AU14" s="95">
        <v>76.64</v>
      </c>
      <c r="AV14" s="95">
        <v>92.27</v>
      </c>
      <c r="AW14" s="95">
        <v>26.85</v>
      </c>
      <c r="AX14" s="95">
        <v>93.48</v>
      </c>
    </row>
    <row r="15" spans="1:50" x14ac:dyDescent="0.25">
      <c r="A15" s="61">
        <v>45496</v>
      </c>
      <c r="B15" s="62" t="s">
        <v>18</v>
      </c>
      <c r="C15" s="62" t="s">
        <v>19</v>
      </c>
      <c r="D15" s="63">
        <v>140</v>
      </c>
      <c r="E15" s="62" t="s">
        <v>16</v>
      </c>
      <c r="F15" s="63">
        <v>10</v>
      </c>
      <c r="G15" s="64">
        <v>2831.55</v>
      </c>
      <c r="H15" s="55"/>
      <c r="I15" s="49"/>
      <c r="M15" s="94" t="str">
        <f>[1]!s_info_name(N15)</f>
        <v>金山软件</v>
      </c>
      <c r="N15" s="94" t="s">
        <v>18</v>
      </c>
      <c r="O15" s="95">
        <v>20.192328</v>
      </c>
      <c r="P15" s="95">
        <v>20.418513000000004</v>
      </c>
      <c r="Q15" s="95">
        <v>20.363690999999999</v>
      </c>
      <c r="R15" s="95">
        <v>20.225386499999999</v>
      </c>
      <c r="S15" s="95">
        <v>20.732590999999999</v>
      </c>
      <c r="T15" s="95">
        <v>20.742578999999999</v>
      </c>
      <c r="V15" s="49">
        <f>RTD("wdf.rtq", ,"3888.HK", "rt_last","RT_Price")</f>
        <v>21.85</v>
      </c>
      <c r="W15" s="110">
        <f t="shared" si="0"/>
        <v>20.359830000000002</v>
      </c>
      <c r="X15" s="49">
        <f t="shared" si="1"/>
        <v>2850.3762000000002</v>
      </c>
      <c r="AC15" s="104"/>
      <c r="AM15" s="49"/>
      <c r="AN15" s="50">
        <v>45496</v>
      </c>
      <c r="AO15" s="95">
        <v>24.98</v>
      </c>
      <c r="AP15" s="95">
        <v>14.32</v>
      </c>
      <c r="AQ15" s="95">
        <v>16.05</v>
      </c>
      <c r="AR15" s="95">
        <v>19.43</v>
      </c>
      <c r="AS15" s="95">
        <v>14.89</v>
      </c>
      <c r="AT15" s="95">
        <v>7.95</v>
      </c>
      <c r="AU15" s="95">
        <v>76.64</v>
      </c>
      <c r="AV15" s="95">
        <v>92.27</v>
      </c>
      <c r="AW15" s="95">
        <v>26.85</v>
      </c>
      <c r="AX15" s="95">
        <v>93.48</v>
      </c>
    </row>
    <row r="16" spans="1:50" x14ac:dyDescent="0.25">
      <c r="A16" s="61">
        <v>45496</v>
      </c>
      <c r="B16" s="62" t="s">
        <v>181</v>
      </c>
      <c r="C16" s="62" t="s">
        <v>182</v>
      </c>
      <c r="D16" s="63">
        <v>125</v>
      </c>
      <c r="E16" s="62" t="s">
        <v>16</v>
      </c>
      <c r="F16" s="63">
        <v>10</v>
      </c>
      <c r="G16" s="64">
        <v>1467.82</v>
      </c>
      <c r="H16" s="55"/>
      <c r="I16" s="49"/>
      <c r="M16" s="94" t="str">
        <f>[1]!s_info_name(N16)</f>
        <v>众安在线</v>
      </c>
      <c r="N16" s="94" t="s">
        <v>181</v>
      </c>
      <c r="O16" s="95">
        <v>11.8961136</v>
      </c>
      <c r="P16" s="95">
        <v>12.0957992</v>
      </c>
      <c r="Q16" s="95">
        <v>12.163424399999998</v>
      </c>
      <c r="R16" s="95">
        <v>11.7425946</v>
      </c>
      <c r="S16" s="95">
        <v>11.781957</v>
      </c>
      <c r="T16" s="95">
        <v>11.787633</v>
      </c>
      <c r="V16" s="49">
        <f>RTD("wdf.rtq", ,"6060.HK", "rt_last","RT_Price")</f>
        <v>12.56</v>
      </c>
      <c r="W16" s="110">
        <f t="shared" si="0"/>
        <v>11.703408000000001</v>
      </c>
      <c r="X16" s="49">
        <f t="shared" si="1"/>
        <v>1462.9260000000002</v>
      </c>
      <c r="AC16" s="104"/>
      <c r="AM16" s="49"/>
    </row>
    <row r="17" spans="1:51" x14ac:dyDescent="0.25">
      <c r="A17" s="61">
        <v>45496</v>
      </c>
      <c r="B17" s="62" t="s">
        <v>183</v>
      </c>
      <c r="C17" s="62" t="s">
        <v>184</v>
      </c>
      <c r="D17" s="63">
        <v>187</v>
      </c>
      <c r="E17" s="62" t="s">
        <v>16</v>
      </c>
      <c r="F17" s="63">
        <v>10</v>
      </c>
      <c r="G17" s="64">
        <v>3508.94</v>
      </c>
      <c r="H17" s="55"/>
      <c r="I17" s="49"/>
      <c r="M17" s="94" t="str">
        <f>[1]!s_info_name(N17)</f>
        <v>京东健康</v>
      </c>
      <c r="N17" s="94" t="s">
        <v>183</v>
      </c>
      <c r="O17" s="95">
        <v>19.095911999999998</v>
      </c>
      <c r="P17" s="95">
        <v>19.824686</v>
      </c>
      <c r="Q17" s="95">
        <v>19.450520999999998</v>
      </c>
      <c r="R17" s="95">
        <v>18.764410500000004</v>
      </c>
      <c r="S17" s="95">
        <v>19.271263000000001</v>
      </c>
      <c r="T17" s="95">
        <v>19.280547000000002</v>
      </c>
      <c r="V17" s="49">
        <f>RTD("wdf.rtq", ,"6618.HK", "rt_last","RT_Price")</f>
        <v>20.6</v>
      </c>
      <c r="W17" s="110">
        <f t="shared" si="0"/>
        <v>19.195080000000004</v>
      </c>
      <c r="X17" s="49">
        <f t="shared" si="1"/>
        <v>3589.479960000001</v>
      </c>
      <c r="AC17" s="104"/>
      <c r="AM17" s="49"/>
    </row>
    <row r="18" spans="1:51" x14ac:dyDescent="0.25">
      <c r="A18" s="61">
        <v>45496</v>
      </c>
      <c r="B18" s="62" t="s">
        <v>253</v>
      </c>
      <c r="C18" s="62" t="s">
        <v>254</v>
      </c>
      <c r="D18" s="63">
        <v>370</v>
      </c>
      <c r="E18" s="62" t="s">
        <v>16</v>
      </c>
      <c r="F18" s="63">
        <v>10</v>
      </c>
      <c r="G18" s="64">
        <v>34697.269999999997</v>
      </c>
      <c r="H18" s="55"/>
      <c r="I18" s="49"/>
      <c r="M18" s="94" t="str">
        <f>[1]!s_info_name(N18)</f>
        <v>京东集团-SW</v>
      </c>
      <c r="N18" s="94" t="s">
        <v>253</v>
      </c>
      <c r="O18" s="95">
        <v>95.479559999999992</v>
      </c>
      <c r="P18" s="95">
        <v>97.478986000000006</v>
      </c>
      <c r="Q18" s="95">
        <v>96.978653999999992</v>
      </c>
      <c r="R18" s="95">
        <v>93.776397000000017</v>
      </c>
      <c r="S18" s="95">
        <v>95.077652999999998</v>
      </c>
      <c r="T18" s="95">
        <v>95.123456999999988</v>
      </c>
      <c r="V18" s="49">
        <f>RTD("wdf.rtq", ,"9618.HK", "rt_last","RT_Price")</f>
        <v>102.5</v>
      </c>
      <c r="W18" s="110">
        <f t="shared" si="0"/>
        <v>95.509500000000003</v>
      </c>
      <c r="X18" s="49">
        <f t="shared" si="1"/>
        <v>35338.514999999999</v>
      </c>
      <c r="AC18" s="94"/>
      <c r="AD18" s="94"/>
      <c r="AE18" s="50"/>
      <c r="AF18" s="50"/>
    </row>
    <row r="19" spans="1:51" x14ac:dyDescent="0.25">
      <c r="A19" s="61">
        <v>45496</v>
      </c>
      <c r="B19" s="62" t="s">
        <v>255</v>
      </c>
      <c r="C19" s="62" t="s">
        <v>265</v>
      </c>
      <c r="D19" s="63">
        <v>42</v>
      </c>
      <c r="E19" s="62" t="s">
        <v>16</v>
      </c>
      <c r="F19" s="63">
        <v>10</v>
      </c>
      <c r="G19" s="64">
        <v>4648.1000000000004</v>
      </c>
      <c r="H19" s="55"/>
      <c r="I19" s="49"/>
      <c r="M19" s="94" t="str">
        <f>[1]!s_info_name(N19)</f>
        <v>哔哩哔哩-W</v>
      </c>
      <c r="N19" s="94" t="s">
        <v>255</v>
      </c>
      <c r="O19" s="95">
        <v>116.03735999999999</v>
      </c>
      <c r="P19" s="95">
        <v>114.471574</v>
      </c>
      <c r="Q19" s="95">
        <v>113.41571399999999</v>
      </c>
      <c r="R19" s="95">
        <v>110.66893200000001</v>
      </c>
      <c r="S19" s="95">
        <v>109.23426799999999</v>
      </c>
      <c r="T19" s="95">
        <v>109.28689199999999</v>
      </c>
      <c r="V19" s="49">
        <f>RTD("wdf.rtq", ,"9626.HK", "rt_last","RT_Price")</f>
        <v>117.60000000000001</v>
      </c>
      <c r="W19" s="110">
        <f t="shared" si="0"/>
        <v>109.57968000000001</v>
      </c>
      <c r="X19" s="49">
        <f t="shared" si="1"/>
        <v>4602.3465600000009</v>
      </c>
      <c r="AA19" s="94"/>
      <c r="AB19" s="94"/>
      <c r="AC19" s="94"/>
      <c r="AD19" s="94"/>
      <c r="AF19" s="95"/>
    </row>
    <row r="20" spans="1:51" x14ac:dyDescent="0.25">
      <c r="A20" s="61">
        <v>45496</v>
      </c>
      <c r="B20" s="62" t="s">
        <v>302</v>
      </c>
      <c r="C20" s="62" t="s">
        <v>303</v>
      </c>
      <c r="D20" s="63">
        <v>56</v>
      </c>
      <c r="E20" s="62" t="s">
        <v>17</v>
      </c>
      <c r="F20" s="63">
        <v>0</v>
      </c>
      <c r="G20" s="64">
        <v>406.52</v>
      </c>
      <c r="H20" s="55"/>
      <c r="I20" s="49"/>
      <c r="M20" s="94" t="str">
        <f>[1]!s_info_name(N20)</f>
        <v>药师帮</v>
      </c>
      <c r="N20" s="94" t="s">
        <v>302</v>
      </c>
      <c r="O20" s="95">
        <v>7.1541143999999992</v>
      </c>
      <c r="P20" s="95">
        <v>7.1350598000000005</v>
      </c>
      <c r="Q20" s="95">
        <v>7.1866478999999996</v>
      </c>
      <c r="R20" s="95">
        <v>7.2592245000000011</v>
      </c>
      <c r="S20" s="95">
        <v>7.2701067999999998</v>
      </c>
      <c r="T20" s="95">
        <v>7.2736092000000001</v>
      </c>
      <c r="V20" s="49">
        <f>RTD("wdf.rtq", ,"9885.HK", "rt_last","RT_Price")</f>
        <v>7.99</v>
      </c>
      <c r="W20" s="110">
        <f t="shared" si="0"/>
        <v>7.4450820000000011</v>
      </c>
      <c r="X20" s="49">
        <f t="shared" si="1"/>
        <v>416.92459200000008</v>
      </c>
      <c r="AC20" s="104"/>
    </row>
    <row r="21" spans="1:51" x14ac:dyDescent="0.25">
      <c r="A21" s="61">
        <v>45496</v>
      </c>
      <c r="B21" s="62" t="s">
        <v>256</v>
      </c>
      <c r="C21" s="62" t="s">
        <v>257</v>
      </c>
      <c r="D21" s="63">
        <v>414</v>
      </c>
      <c r="E21" s="62" t="s">
        <v>16</v>
      </c>
      <c r="F21" s="63">
        <v>10</v>
      </c>
      <c r="G21" s="64">
        <v>33323.129999999997</v>
      </c>
      <c r="H21" s="55"/>
      <c r="I21" s="49"/>
      <c r="M21" s="94" t="str">
        <f>[1]!s_info_name(N21)</f>
        <v>百度集团-SW</v>
      </c>
      <c r="N21" s="94" t="s">
        <v>256</v>
      </c>
      <c r="O21" s="95">
        <v>83.281931999999998</v>
      </c>
      <c r="P21" s="95">
        <v>83.729607000000016</v>
      </c>
      <c r="Q21" s="95">
        <v>81.683056499999992</v>
      </c>
      <c r="R21" s="95">
        <v>80.490646500000011</v>
      </c>
      <c r="S21" s="95">
        <v>81.697368499999996</v>
      </c>
      <c r="T21" s="95">
        <v>81.736726500000003</v>
      </c>
      <c r="V21" s="49">
        <f>RTD("wdf.rtq", ,"9888.HK", "rt_last","RT_Price")</f>
        <v>88.4</v>
      </c>
      <c r="W21" s="110">
        <f t="shared" si="0"/>
        <v>82.371120000000005</v>
      </c>
      <c r="X21" s="49">
        <f t="shared" si="1"/>
        <v>34101.643680000001</v>
      </c>
      <c r="AC21" s="104"/>
    </row>
    <row r="22" spans="1:51" x14ac:dyDescent="0.25">
      <c r="A22" s="61">
        <v>45496</v>
      </c>
      <c r="B22" s="62" t="s">
        <v>304</v>
      </c>
      <c r="C22" s="62" t="s">
        <v>305</v>
      </c>
      <c r="D22" s="63">
        <v>31</v>
      </c>
      <c r="E22" s="62" t="s">
        <v>17</v>
      </c>
      <c r="F22" s="63">
        <v>0</v>
      </c>
      <c r="G22" s="64">
        <v>368.55</v>
      </c>
      <c r="H22" s="55"/>
      <c r="I22" s="49"/>
      <c r="M22" s="94" t="str">
        <f>[1]!s_info_name(N22)</f>
        <v>中旭未来</v>
      </c>
      <c r="N22" s="94" t="s">
        <v>304</v>
      </c>
      <c r="O22" s="95">
        <v>10.817971199999999</v>
      </c>
      <c r="P22" s="95">
        <v>11.474564800000001</v>
      </c>
      <c r="Q22" s="95">
        <v>11.852946599999999</v>
      </c>
      <c r="R22" s="95">
        <v>11.888692200000001</v>
      </c>
      <c r="S22" s="95">
        <v>11.453158199999999</v>
      </c>
      <c r="T22" s="95">
        <v>11.458675799999998</v>
      </c>
      <c r="V22" s="49">
        <f>RTD("wdf.rtq", ,"9890.HK", "rt_last","RT_Price")</f>
        <v>12.200000000000001</v>
      </c>
      <c r="W22" s="110">
        <f t="shared" si="0"/>
        <v>11.367960000000002</v>
      </c>
      <c r="X22" s="49">
        <f t="shared" si="1"/>
        <v>352.40676000000008</v>
      </c>
      <c r="AC22" s="104"/>
    </row>
    <row r="23" spans="1:51" x14ac:dyDescent="0.25">
      <c r="A23" s="61">
        <v>45496</v>
      </c>
      <c r="B23" s="62" t="s">
        <v>258</v>
      </c>
      <c r="C23" s="62" t="s">
        <v>259</v>
      </c>
      <c r="D23" s="63">
        <v>100</v>
      </c>
      <c r="E23" s="62" t="s">
        <v>16</v>
      </c>
      <c r="F23" s="63">
        <v>10</v>
      </c>
      <c r="G23" s="64">
        <v>31429.25</v>
      </c>
      <c r="H23" s="55"/>
      <c r="I23" s="49"/>
      <c r="M23" s="94" t="str">
        <f>[1]!s_info_name(N23)</f>
        <v>携程集团-S</v>
      </c>
      <c r="N23" s="94" t="s">
        <v>258</v>
      </c>
      <c r="O23" s="95">
        <v>341.53358399999996</v>
      </c>
      <c r="P23" s="95">
        <v>338.75546400000002</v>
      </c>
      <c r="Q23" s="95">
        <v>328.01066399999996</v>
      </c>
      <c r="R23" s="95">
        <v>314.292462</v>
      </c>
      <c r="S23" s="95">
        <v>330.44279399999999</v>
      </c>
      <c r="T23" s="95">
        <v>330.60198600000001</v>
      </c>
      <c r="V23" s="49">
        <f>RTD("wdf.rtq", ,"9961.HK", "rt_last","RT_Price")</f>
        <v>361.40000000000003</v>
      </c>
      <c r="W23" s="110">
        <f t="shared" si="0"/>
        <v>336.75252000000006</v>
      </c>
      <c r="X23" s="49">
        <f t="shared" si="1"/>
        <v>33675.252000000008</v>
      </c>
      <c r="AC23" s="104"/>
    </row>
    <row r="24" spans="1:51" x14ac:dyDescent="0.25">
      <c r="A24" s="61">
        <v>45496</v>
      </c>
      <c r="B24" s="62" t="s">
        <v>260</v>
      </c>
      <c r="C24" s="62" t="s">
        <v>261</v>
      </c>
      <c r="D24" s="63">
        <v>3100</v>
      </c>
      <c r="E24" s="62" t="s">
        <v>16</v>
      </c>
      <c r="F24" s="63">
        <v>10</v>
      </c>
      <c r="G24" s="64">
        <v>208901.31</v>
      </c>
      <c r="H24" s="55"/>
      <c r="I24" s="49"/>
      <c r="M24" s="94" t="str">
        <f>[1]!s_info_name(N24)</f>
        <v>阿里巴巴-SW</v>
      </c>
      <c r="N24" s="94" t="s">
        <v>260</v>
      </c>
      <c r="O24" s="95">
        <v>68.982839999999996</v>
      </c>
      <c r="P24" s="95">
        <v>69.706153999999998</v>
      </c>
      <c r="Q24" s="95">
        <v>69.218285999999992</v>
      </c>
      <c r="R24" s="95">
        <v>67.387518</v>
      </c>
      <c r="S24" s="95">
        <v>68.271417499999998</v>
      </c>
      <c r="T24" s="95">
        <v>68.304307499999993</v>
      </c>
      <c r="V24" s="49">
        <f>RTD("wdf.rtq", ,"9988.HK", "rt_last","RT_Price")</f>
        <v>74.25</v>
      </c>
      <c r="W24" s="110">
        <f t="shared" si="0"/>
        <v>69.186150000000012</v>
      </c>
      <c r="X24" s="49">
        <f t="shared" si="1"/>
        <v>214477.06500000003</v>
      </c>
      <c r="AC24" s="104"/>
    </row>
    <row r="25" spans="1:51" x14ac:dyDescent="0.25">
      <c r="A25" s="61">
        <v>45496</v>
      </c>
      <c r="B25" s="62" t="s">
        <v>262</v>
      </c>
      <c r="C25" s="62" t="s">
        <v>263</v>
      </c>
      <c r="D25" s="63">
        <v>288</v>
      </c>
      <c r="E25" s="62" t="s">
        <v>16</v>
      </c>
      <c r="F25" s="63">
        <v>10</v>
      </c>
      <c r="G25" s="64">
        <v>37289.949999999997</v>
      </c>
      <c r="H25" s="55"/>
      <c r="I25" s="49"/>
      <c r="M25" s="94" t="str">
        <f>[1]!s_info_name(N25)</f>
        <v>网易-S</v>
      </c>
      <c r="N25" s="94" t="s">
        <v>262</v>
      </c>
      <c r="O25" s="95">
        <v>131.56992</v>
      </c>
      <c r="P25" s="95">
        <v>133.38268000000002</v>
      </c>
      <c r="Q25" s="95">
        <v>132.95755199999999</v>
      </c>
      <c r="R25" s="95">
        <v>129.47899800000002</v>
      </c>
      <c r="S25" s="95">
        <v>132.158851</v>
      </c>
      <c r="T25" s="95">
        <v>132.22251899999998</v>
      </c>
      <c r="V25" s="49">
        <f>RTD("wdf.rtq", ,"9999.HK", "rt_last","RT_Price")</f>
        <v>142.5</v>
      </c>
      <c r="W25" s="110">
        <f t="shared" si="0"/>
        <v>132.78150000000002</v>
      </c>
      <c r="X25" s="49">
        <f t="shared" si="1"/>
        <v>38241.072000000007</v>
      </c>
      <c r="AE25" s="50"/>
    </row>
    <row r="26" spans="1:51" x14ac:dyDescent="0.25">
      <c r="A26" s="3">
        <v>45496</v>
      </c>
      <c r="B26" s="5" t="s">
        <v>20</v>
      </c>
      <c r="C26" s="113" t="s">
        <v>21</v>
      </c>
      <c r="D26" s="57">
        <v>11</v>
      </c>
      <c r="E26" s="5" t="s">
        <v>16</v>
      </c>
      <c r="F26" s="57">
        <v>10</v>
      </c>
      <c r="G26" s="20">
        <v>1978.42</v>
      </c>
      <c r="H26" s="55"/>
      <c r="I26" s="49"/>
      <c r="M26" s="94" t="str">
        <f>[1]!s_info_name(N26)</f>
        <v>汽车之家</v>
      </c>
      <c r="N26" s="94" t="s">
        <v>338</v>
      </c>
      <c r="O26" s="95">
        <v>199.57574399999999</v>
      </c>
      <c r="P26" s="95">
        <v>198.26403999999999</v>
      </c>
      <c r="Q26" s="95">
        <v>189.76067</v>
      </c>
      <c r="R26" s="95">
        <v>179.85642999999999</v>
      </c>
      <c r="S26" s="95">
        <v>178.19483000000002</v>
      </c>
      <c r="T26" s="95">
        <v>178.19233199999999</v>
      </c>
      <c r="U26" s="118"/>
      <c r="V26" s="95">
        <v>26.62</v>
      </c>
      <c r="W26" s="112">
        <f>AN29*AF7</f>
        <v>180.39736225898847</v>
      </c>
      <c r="X26" s="49">
        <f t="shared" si="1"/>
        <v>1984.3709848488731</v>
      </c>
      <c r="AC26" s="94"/>
      <c r="AD26" s="94"/>
      <c r="AE26" s="95"/>
      <c r="AF26" s="50"/>
      <c r="AM26" s="119" t="s">
        <v>330</v>
      </c>
      <c r="AN26" s="120" t="s">
        <v>347</v>
      </c>
      <c r="AO26" s="120" t="s">
        <v>348</v>
      </c>
      <c r="AP26" s="120" t="s">
        <v>349</v>
      </c>
      <c r="AQ26" s="120" t="s">
        <v>350</v>
      </c>
      <c r="AR26" s="120" t="s">
        <v>351</v>
      </c>
      <c r="AS26" s="120" t="s">
        <v>326</v>
      </c>
      <c r="AT26" s="110" t="s">
        <v>397</v>
      </c>
      <c r="AU26" s="110" t="s">
        <v>398</v>
      </c>
      <c r="AV26" s="110" t="s">
        <v>399</v>
      </c>
      <c r="AW26" s="110" t="s">
        <v>400</v>
      </c>
      <c r="AX26" s="110"/>
      <c r="AY26" s="110"/>
    </row>
    <row r="27" spans="1:51" x14ac:dyDescent="0.25">
      <c r="A27" s="3">
        <v>45496</v>
      </c>
      <c r="B27" s="5" t="s">
        <v>174</v>
      </c>
      <c r="C27" s="113" t="s">
        <v>194</v>
      </c>
      <c r="D27" s="57">
        <v>108</v>
      </c>
      <c r="E27" s="5" t="s">
        <v>16</v>
      </c>
      <c r="F27" s="57">
        <v>10</v>
      </c>
      <c r="G27" s="20">
        <v>10875.25</v>
      </c>
      <c r="H27" s="55"/>
      <c r="I27" s="49"/>
      <c r="M27" s="94" t="str">
        <f>[1]!s_info_name(N27)</f>
        <v>贝壳</v>
      </c>
      <c r="N27" s="94" t="s">
        <v>339</v>
      </c>
      <c r="O27" s="95">
        <v>105.56544</v>
      </c>
      <c r="P27" s="95">
        <v>102.555284</v>
      </c>
      <c r="Q27" s="95">
        <v>101.93755</v>
      </c>
      <c r="R27" s="95">
        <v>100.69677999999999</v>
      </c>
      <c r="S27" s="95">
        <v>102.15172000000001</v>
      </c>
      <c r="T27" s="95">
        <v>102.150288</v>
      </c>
      <c r="V27" s="95">
        <v>14.3</v>
      </c>
      <c r="W27" s="112">
        <f>AO29*AF7</f>
        <v>103.57007652420748</v>
      </c>
      <c r="X27" s="49">
        <f t="shared" si="1"/>
        <v>11185.568264614409</v>
      </c>
      <c r="AA27" s="94"/>
      <c r="AB27" s="94"/>
      <c r="AC27" s="94"/>
      <c r="AD27" s="94"/>
      <c r="AE27" s="95"/>
      <c r="AF27" s="95"/>
      <c r="AM27" s="119" t="s">
        <v>332</v>
      </c>
      <c r="AN27" s="120" t="s">
        <v>352</v>
      </c>
      <c r="AO27" s="120" t="s">
        <v>353</v>
      </c>
      <c r="AP27" s="120" t="s">
        <v>404</v>
      </c>
      <c r="AQ27" s="120" t="s">
        <v>354</v>
      </c>
      <c r="AR27" s="120" t="s">
        <v>355</v>
      </c>
      <c r="AS27" s="120" t="s">
        <v>356</v>
      </c>
      <c r="AT27" s="110" t="s">
        <v>362</v>
      </c>
      <c r="AU27" s="110" t="s">
        <v>363</v>
      </c>
      <c r="AV27" s="110" t="s">
        <v>364</v>
      </c>
      <c r="AW27" s="110" t="s">
        <v>365</v>
      </c>
      <c r="AX27" s="110" t="s">
        <v>367</v>
      </c>
      <c r="AY27" s="110" t="s">
        <v>366</v>
      </c>
    </row>
    <row r="28" spans="1:51" x14ac:dyDescent="0.25">
      <c r="A28" s="3">
        <v>45496</v>
      </c>
      <c r="B28" s="5" t="s">
        <v>231</v>
      </c>
      <c r="C28" s="5" t="s">
        <v>232</v>
      </c>
      <c r="D28" s="57">
        <v>65</v>
      </c>
      <c r="E28" s="5" t="s">
        <v>16</v>
      </c>
      <c r="F28" s="57">
        <v>10</v>
      </c>
      <c r="G28" s="20">
        <v>7277.7</v>
      </c>
      <c r="H28" s="55"/>
      <c r="I28" s="49"/>
      <c r="M28" s="94" t="str">
        <f>[1]!s_info_name(N28)</f>
        <v>BOSS直聘</v>
      </c>
      <c r="N28" s="94" t="s">
        <v>231</v>
      </c>
      <c r="O28" s="95">
        <v>122.755488</v>
      </c>
      <c r="P28" s="95">
        <v>119.81424</v>
      </c>
      <c r="Q28" s="95">
        <v>114.55499500000001</v>
      </c>
      <c r="R28" s="95">
        <v>111.96454999999999</v>
      </c>
      <c r="S28" s="95">
        <v>114.49267500000002</v>
      </c>
      <c r="T28" s="95">
        <v>114.49107000000001</v>
      </c>
      <c r="V28" s="95">
        <v>16.07</v>
      </c>
      <c r="W28" s="49">
        <f>V28*(1+$AY$28)*$AF$7</f>
        <v>115.3216453418481</v>
      </c>
      <c r="X28" s="49">
        <f t="shared" si="1"/>
        <v>7495.9069472201263</v>
      </c>
      <c r="AA28" s="95"/>
      <c r="AB28" s="95"/>
      <c r="AC28" s="95"/>
      <c r="AD28" s="94" t="s">
        <v>2</v>
      </c>
      <c r="AE28" s="94" t="s">
        <v>325</v>
      </c>
      <c r="AF28" s="50">
        <v>45491</v>
      </c>
      <c r="AG28" s="50">
        <v>45492</v>
      </c>
      <c r="AM28" s="119" t="s">
        <v>334</v>
      </c>
      <c r="AN28" s="121">
        <f>RTD("wdf.rtq", ,"2518.HK", "rt_last","RT_Price")</f>
        <v>48.4</v>
      </c>
      <c r="AO28" s="121">
        <f>RTD("wdf.rtq", ,"2423.HK", "rt_last","RT_Price")</f>
        <v>37.050000000000004</v>
      </c>
      <c r="AP28" s="121">
        <f>RTD("wdf.rtq", ,"9626.HK", "rt_last","RT_Price")</f>
        <v>117.60000000000001</v>
      </c>
      <c r="AQ28" s="121">
        <f>RTD("wdf.rtq", ,"3660.HK", "rt_last","RT_Price")</f>
        <v>76.05</v>
      </c>
      <c r="AR28" s="121">
        <f>RTD("wdf.rtq", ,"1698.HK", "rt_last","RT_Price")</f>
        <v>57.5</v>
      </c>
      <c r="AS28" s="121">
        <f>RTD("wdf.rtq", ,"9898.HK", "rt_last","RT_Price")</f>
        <v>61.65</v>
      </c>
      <c r="AT28" s="121">
        <f>RTD("wdf.rtq", ,"9988.HK", "rt_last","RT_Price")</f>
        <v>74.25</v>
      </c>
      <c r="AU28" s="121">
        <f>RTD("wdf.rtq", ,"9888.HK", "rt_last","RT_Price")</f>
        <v>88.4</v>
      </c>
      <c r="AV28" s="121">
        <f>RTD("wdf.rtq", ,"9618.HK", "rt_last","RT_Price")</f>
        <v>102.5</v>
      </c>
      <c r="AW28" s="121">
        <f>RTD("wdf.rtq", ,"9999.HK", "rt_last","RT_Price")</f>
        <v>142.5</v>
      </c>
      <c r="AX28" s="110">
        <f>SUM(AN32:AW32)</f>
        <v>268626254.16000003</v>
      </c>
      <c r="AY28" s="130">
        <f>AN31*AN33+AO31*AO33+AP31*AP33+AQ31*AQ33+AR31*AR33+AS31*AS33+AT31*AT33+AU31*AU33+AV31*AV33+AW31*AW33</f>
        <v>-1.3484881218387222E-2</v>
      </c>
    </row>
    <row r="29" spans="1:51" x14ac:dyDescent="0.25">
      <c r="A29" s="3">
        <v>45496</v>
      </c>
      <c r="B29" s="5" t="s">
        <v>29</v>
      </c>
      <c r="C29" s="5" t="s">
        <v>195</v>
      </c>
      <c r="D29" s="57">
        <v>46</v>
      </c>
      <c r="E29" s="5" t="s">
        <v>16</v>
      </c>
      <c r="F29" s="57">
        <v>10</v>
      </c>
      <c r="G29" s="20">
        <v>1148.17</v>
      </c>
      <c r="H29" s="55"/>
      <c r="I29" s="49"/>
      <c r="M29" s="94" t="str">
        <f>[1]!s_info_name(N29)</f>
        <v>爱奇艺</v>
      </c>
      <c r="N29" s="94" t="s">
        <v>29</v>
      </c>
      <c r="O29" s="95">
        <v>26.747999999999998</v>
      </c>
      <c r="P29" s="95">
        <v>26.102387999999998</v>
      </c>
      <c r="Q29" s="95">
        <v>25.983382500000001</v>
      </c>
      <c r="R29" s="95">
        <v>24.960249999999998</v>
      </c>
      <c r="S29" s="95">
        <v>24.111230000000003</v>
      </c>
      <c r="T29" s="95">
        <v>24.110892</v>
      </c>
      <c r="V29" s="95">
        <v>3.645</v>
      </c>
      <c r="W29" s="49">
        <f t="shared" ref="W29:W31" si="2">V29*(1+$AY$28)*$AF$7</f>
        <v>26.157274254575999</v>
      </c>
      <c r="X29" s="49">
        <f t="shared" si="1"/>
        <v>1203.234615710496</v>
      </c>
      <c r="AB29" s="94" t="s">
        <v>323</v>
      </c>
      <c r="AC29" s="94" t="s">
        <v>324</v>
      </c>
      <c r="AD29" s="94" t="str">
        <f>[1]!s_info_name(AE29)</f>
        <v>汽车之家</v>
      </c>
      <c r="AE29" s="94" t="s">
        <v>20</v>
      </c>
      <c r="AF29" s="95">
        <f>[1]!WSD(AE29:AE41,AC29,"2024-07-18","2024-07-19","TradingCalendar=SSE","rptType=1","Direction=V","ShowParams=Y","cols=2;rows=13")</f>
        <v>26.62</v>
      </c>
      <c r="AG29" s="95">
        <v>25.22</v>
      </c>
      <c r="AM29" s="119" t="s">
        <v>357</v>
      </c>
      <c r="AN29" s="110">
        <f>AN28*4/AG7</f>
        <v>24.799274467507313</v>
      </c>
      <c r="AO29" s="110">
        <f>AO28*3/AG7</f>
        <v>14.237806596402056</v>
      </c>
      <c r="AP29" s="110">
        <f>AP28/AG7</f>
        <v>15.064022093899071</v>
      </c>
      <c r="AQ29" s="110">
        <f>AQ28*2/AG7</f>
        <v>19.48331428981334</v>
      </c>
      <c r="AR29" s="110">
        <f>AR28*2/AG7</f>
        <v>14.730973986380894</v>
      </c>
      <c r="AS29" s="110">
        <f>AS28/AG7</f>
        <v>7.897083010959844</v>
      </c>
      <c r="AT29" s="110">
        <f>AT28*8/AG7</f>
        <v>76.088683025306537</v>
      </c>
      <c r="AU29" s="110">
        <f>AU28*8/AG7</f>
        <v>90.589085244944073</v>
      </c>
      <c r="AV29" s="110">
        <f>AV28*2/AG7</f>
        <v>26.25956232354855</v>
      </c>
      <c r="AW29" s="110">
        <f>AW28*5/AG7</f>
        <v>91.267991002577276</v>
      </c>
      <c r="AX29" s="110"/>
      <c r="AY29" s="110"/>
    </row>
    <row r="30" spans="1:51" x14ac:dyDescent="0.25">
      <c r="A30" s="3">
        <v>45496</v>
      </c>
      <c r="B30" s="5" t="s">
        <v>180</v>
      </c>
      <c r="C30" s="5" t="s">
        <v>196</v>
      </c>
      <c r="D30" s="57">
        <v>34</v>
      </c>
      <c r="E30" s="5" t="s">
        <v>16</v>
      </c>
      <c r="F30" s="57">
        <v>10</v>
      </c>
      <c r="G30" s="20">
        <v>681.34</v>
      </c>
      <c r="H30" s="55"/>
      <c r="I30" s="49"/>
      <c r="M30" s="94" t="str">
        <f>[1]!s_info_name(N30)</f>
        <v>陆金所控股</v>
      </c>
      <c r="N30" s="94" t="s">
        <v>180</v>
      </c>
      <c r="O30" s="95">
        <v>20.185824</v>
      </c>
      <c r="P30" s="95">
        <v>19.327177999999996</v>
      </c>
      <c r="Q30" s="95">
        <v>19.603375</v>
      </c>
      <c r="R30" s="95">
        <v>20.039515000000002</v>
      </c>
      <c r="S30" s="95">
        <v>20.615815000000001</v>
      </c>
      <c r="T30" s="95">
        <v>20.615525999999999</v>
      </c>
      <c r="V30" s="95">
        <v>2.75</v>
      </c>
      <c r="W30" s="49">
        <f t="shared" si="2"/>
        <v>19.734569053520985</v>
      </c>
      <c r="X30" s="49">
        <f t="shared" si="1"/>
        <v>670.97534781971353</v>
      </c>
      <c r="AD30" s="94" t="str">
        <f>[1]!s_info_name(AE30)</f>
        <v>贝壳</v>
      </c>
      <c r="AE30" s="94" t="s">
        <v>174</v>
      </c>
      <c r="AF30" s="95">
        <v>14.3</v>
      </c>
      <c r="AG30" s="95">
        <v>14.12</v>
      </c>
      <c r="AM30" s="119" t="s">
        <v>360</v>
      </c>
      <c r="AN30" s="122">
        <f>AO14</f>
        <v>24.98</v>
      </c>
      <c r="AO30" s="122">
        <f>AP14</f>
        <v>14.32</v>
      </c>
      <c r="AP30" s="122">
        <f>AQ14</f>
        <v>16.05</v>
      </c>
      <c r="AQ30" s="122">
        <f>AR14</f>
        <v>19.43</v>
      </c>
      <c r="AR30" s="122">
        <f>AS14</f>
        <v>14.89</v>
      </c>
      <c r="AS30" s="122">
        <f>AT14</f>
        <v>7.95</v>
      </c>
      <c r="AT30" s="122">
        <f>AU14</f>
        <v>76.64</v>
      </c>
      <c r="AU30" s="122">
        <f>AV14</f>
        <v>92.27</v>
      </c>
      <c r="AV30" s="122">
        <f>AW14</f>
        <v>26.85</v>
      </c>
      <c r="AW30" s="122">
        <f>AX14</f>
        <v>93.48</v>
      </c>
      <c r="AX30" s="110"/>
      <c r="AY30" s="110"/>
    </row>
    <row r="31" spans="1:51" x14ac:dyDescent="0.25">
      <c r="A31" s="3">
        <v>45496</v>
      </c>
      <c r="B31" s="5" t="s">
        <v>150</v>
      </c>
      <c r="C31" s="5" t="s">
        <v>151</v>
      </c>
      <c r="D31" s="57">
        <v>122</v>
      </c>
      <c r="E31" s="5" t="s">
        <v>16</v>
      </c>
      <c r="F31" s="57">
        <v>10</v>
      </c>
      <c r="G31" s="20">
        <v>115750.52</v>
      </c>
      <c r="H31" s="55"/>
      <c r="I31" s="49"/>
      <c r="M31" s="94" t="str">
        <f>[1]!s_info_name(N31)</f>
        <v>拼多多</v>
      </c>
      <c r="N31" s="94" t="s">
        <v>150</v>
      </c>
      <c r="O31" s="95">
        <v>968.91955199999995</v>
      </c>
      <c r="P31" s="95">
        <v>940.11387599999989</v>
      </c>
      <c r="Q31" s="95">
        <v>941.53228000000001</v>
      </c>
      <c r="R31" s="95">
        <v>948.7747599999999</v>
      </c>
      <c r="S31" s="95">
        <v>957.60104000000013</v>
      </c>
      <c r="T31" s="95">
        <v>957.58761600000003</v>
      </c>
      <c r="V31" s="95">
        <v>132.08000000000001</v>
      </c>
      <c r="W31" s="49">
        <f t="shared" si="2"/>
        <v>947.83341112329163</v>
      </c>
      <c r="X31" s="49">
        <f t="shared" si="1"/>
        <v>115635.67615704158</v>
      </c>
      <c r="AD31" s="94" t="str">
        <f>[1]!s_info_name(AE31)</f>
        <v>BOSS直聘</v>
      </c>
      <c r="AE31" s="94" t="s">
        <v>231</v>
      </c>
      <c r="AF31" s="95">
        <v>16.07</v>
      </c>
      <c r="AG31" s="95">
        <v>15.7</v>
      </c>
      <c r="AM31" s="119" t="s">
        <v>327</v>
      </c>
      <c r="AN31" s="110">
        <f>(AN29-AN30)/AN30</f>
        <v>-7.2348091470251031E-3</v>
      </c>
      <c r="AO31" s="110">
        <f t="shared" ref="AO31:AS31" si="3">(AO29-AO30)/AO30</f>
        <v>-5.7397628210855154E-3</v>
      </c>
      <c r="AP31" s="110">
        <f t="shared" si="3"/>
        <v>-6.1431645239933302E-2</v>
      </c>
      <c r="AQ31" s="110">
        <f t="shared" si="3"/>
        <v>2.7439160995028234E-3</v>
      </c>
      <c r="AR31" s="110">
        <f t="shared" si="3"/>
        <v>-1.0680054641981639E-2</v>
      </c>
      <c r="AS31" s="110">
        <f t="shared" si="3"/>
        <v>-6.656225036497633E-3</v>
      </c>
      <c r="AT31" s="110">
        <f t="shared" ref="AT31" si="4">(AT29-AT30)/AT30</f>
        <v>-7.1935930935994735E-3</v>
      </c>
      <c r="AU31" s="110">
        <f t="shared" ref="AU31" si="5">(AU29-AU30)/AU30</f>
        <v>-1.8217348597116323E-2</v>
      </c>
      <c r="AV31" s="110">
        <f t="shared" ref="AV31" si="6">(AV29-AV30)/AV30</f>
        <v>-2.1990230035435789E-2</v>
      </c>
      <c r="AW31" s="110">
        <f t="shared" ref="AW31" si="7">(AW29-AW30)/AW30</f>
        <v>-2.3662911825232436E-2</v>
      </c>
      <c r="AX31" s="110"/>
      <c r="AY31" s="110"/>
    </row>
    <row r="32" spans="1:51" x14ac:dyDescent="0.25">
      <c r="A32" s="3">
        <v>45496</v>
      </c>
      <c r="B32" s="5" t="s">
        <v>192</v>
      </c>
      <c r="C32" s="113" t="s">
        <v>284</v>
      </c>
      <c r="D32" s="57">
        <v>23</v>
      </c>
      <c r="E32" s="5" t="s">
        <v>16</v>
      </c>
      <c r="F32" s="57">
        <v>10</v>
      </c>
      <c r="G32" s="20">
        <v>3155.83</v>
      </c>
      <c r="H32" s="55"/>
      <c r="I32" s="49"/>
      <c r="M32" s="94" t="str">
        <f>[1]!s_info_name(N32)</f>
        <v>奇富科技</v>
      </c>
      <c r="N32" s="94" t="s">
        <v>192</v>
      </c>
      <c r="O32" s="95">
        <v>141.65740799999998</v>
      </c>
      <c r="P32" s="95">
        <v>139.21273599999998</v>
      </c>
      <c r="Q32" s="95">
        <v>134.94250499999998</v>
      </c>
      <c r="R32" s="95">
        <v>137.21006</v>
      </c>
      <c r="S32" s="95">
        <v>138.603905</v>
      </c>
      <c r="T32" s="95">
        <v>138.60196199999999</v>
      </c>
      <c r="V32" s="95">
        <v>18.93</v>
      </c>
      <c r="W32" s="112">
        <f>AQ29*AF7</f>
        <v>141.72747313838917</v>
      </c>
      <c r="X32" s="49">
        <f t="shared" si="1"/>
        <v>3259.7318821829508</v>
      </c>
      <c r="AD32" s="94" t="str">
        <f>[1]!s_info_name(AE32)</f>
        <v>爱奇艺</v>
      </c>
      <c r="AE32" s="94" t="s">
        <v>29</v>
      </c>
      <c r="AF32" s="95">
        <v>3.645</v>
      </c>
      <c r="AG32" s="95">
        <v>3.5</v>
      </c>
      <c r="AM32" s="119" t="s">
        <v>361</v>
      </c>
      <c r="AN32" s="110">
        <v>2279670.9900000002</v>
      </c>
      <c r="AO32" s="110">
        <v>12528540.08</v>
      </c>
      <c r="AP32" s="110">
        <v>4998594.17</v>
      </c>
      <c r="AQ32" s="110">
        <v>2272666.5099999998</v>
      </c>
      <c r="AR32" s="110">
        <v>17491567.129999999</v>
      </c>
      <c r="AS32" s="110">
        <v>1362249.59</v>
      </c>
      <c r="AT32" s="123">
        <v>132074371.02</v>
      </c>
      <c r="AU32" s="110">
        <v>22917907.079999998</v>
      </c>
      <c r="AV32" s="110">
        <v>30267346.52</v>
      </c>
      <c r="AW32" s="110">
        <v>42433341.07</v>
      </c>
      <c r="AX32" s="110"/>
      <c r="AY32" s="110"/>
    </row>
    <row r="33" spans="1:51" x14ac:dyDescent="0.25">
      <c r="A33" s="3">
        <v>45496</v>
      </c>
      <c r="B33" s="5" t="s">
        <v>22</v>
      </c>
      <c r="C33" s="5" t="s">
        <v>23</v>
      </c>
      <c r="D33" s="57">
        <v>75</v>
      </c>
      <c r="E33" s="5" t="s">
        <v>16</v>
      </c>
      <c r="F33" s="57">
        <v>10</v>
      </c>
      <c r="G33" s="20">
        <v>5396.76</v>
      </c>
      <c r="H33" s="55"/>
      <c r="I33" s="49"/>
      <c r="M33" s="94" t="str">
        <f>[1]!s_info_name(N33)</f>
        <v>好未来</v>
      </c>
      <c r="N33" s="94" t="s">
        <v>22</v>
      </c>
      <c r="O33" s="95">
        <v>71.328000000000003</v>
      </c>
      <c r="P33" s="95">
        <v>71.531953999999985</v>
      </c>
      <c r="Q33" s="95">
        <v>71.641424999999998</v>
      </c>
      <c r="R33" s="95">
        <v>71.956834999999998</v>
      </c>
      <c r="S33" s="95">
        <v>77.68381500000001</v>
      </c>
      <c r="T33" s="95">
        <v>77.682726000000002</v>
      </c>
      <c r="V33" s="95">
        <v>10.050000000000001</v>
      </c>
      <c r="W33" s="49">
        <f>V33*(1+$AY$28)*$AF$7</f>
        <v>72.12087963195853</v>
      </c>
      <c r="X33" s="49">
        <f t="shared" si="1"/>
        <v>5409.0659723968902</v>
      </c>
      <c r="AD33" s="94" t="str">
        <f>[1]!s_info_name(AE33)</f>
        <v>陆金所控股</v>
      </c>
      <c r="AE33" s="94" t="s">
        <v>180</v>
      </c>
      <c r="AF33" s="95">
        <v>2.75</v>
      </c>
      <c r="AG33" s="95">
        <v>2.81</v>
      </c>
      <c r="AM33" s="119" t="s">
        <v>368</v>
      </c>
      <c r="AN33" s="110">
        <f>AN32/$AX$28</f>
        <v>8.4864042687434992E-3</v>
      </c>
      <c r="AO33" s="110">
        <f t="shared" ref="AO33:AW33" si="8">AO32/$AX$28</f>
        <v>4.6639298601609175E-2</v>
      </c>
      <c r="AP33" s="110">
        <f t="shared" si="8"/>
        <v>1.8607988208861823E-2</v>
      </c>
      <c r="AQ33" s="110">
        <f t="shared" si="8"/>
        <v>8.4603290810374293E-3</v>
      </c>
      <c r="AR33" s="110">
        <f t="shared" si="8"/>
        <v>6.5114883073125143E-2</v>
      </c>
      <c r="AS33" s="110">
        <f t="shared" si="8"/>
        <v>5.0711707024310906E-3</v>
      </c>
      <c r="AT33" s="110">
        <f t="shared" si="8"/>
        <v>0.49166590746313815</v>
      </c>
      <c r="AU33" s="110">
        <f t="shared" si="8"/>
        <v>8.5315216681499648E-2</v>
      </c>
      <c r="AV33" s="110">
        <f t="shared" si="8"/>
        <v>0.11267456568847535</v>
      </c>
      <c r="AW33" s="110">
        <f t="shared" si="8"/>
        <v>0.15796423623107858</v>
      </c>
      <c r="AX33" s="110"/>
      <c r="AY33" s="110"/>
    </row>
    <row r="34" spans="1:51" x14ac:dyDescent="0.25">
      <c r="A34" s="3">
        <v>45496</v>
      </c>
      <c r="B34" s="5" t="s">
        <v>153</v>
      </c>
      <c r="C34" s="113" t="s">
        <v>154</v>
      </c>
      <c r="D34" s="57">
        <v>100</v>
      </c>
      <c r="E34" s="5" t="s">
        <v>16</v>
      </c>
      <c r="F34" s="57">
        <v>10</v>
      </c>
      <c r="G34" s="20">
        <v>10169.52</v>
      </c>
      <c r="H34" s="55"/>
      <c r="I34" s="49"/>
      <c r="M34" s="94" t="str">
        <f>[1]!s_info_name(N34)</f>
        <v>腾讯音乐</v>
      </c>
      <c r="N34" s="94" t="s">
        <v>153</v>
      </c>
      <c r="O34" s="95">
        <v>107.919264</v>
      </c>
      <c r="P34" s="95">
        <v>105.33668599999999</v>
      </c>
      <c r="Q34" s="95">
        <v>102.93553999999999</v>
      </c>
      <c r="R34" s="95">
        <v>101.69519</v>
      </c>
      <c r="S34" s="95">
        <v>106.21781500000002</v>
      </c>
      <c r="T34" s="95">
        <v>106.21632600000001</v>
      </c>
      <c r="V34" s="95">
        <v>14.44</v>
      </c>
      <c r="W34" s="112">
        <f>AR29*AF7</f>
        <v>107.15752406913055</v>
      </c>
      <c r="X34" s="49">
        <f t="shared" si="1"/>
        <v>10715.752406913054</v>
      </c>
      <c r="AD34" s="94" t="str">
        <f>[1]!s_info_name(AE34)</f>
        <v>拼多多</v>
      </c>
      <c r="AE34" s="94" t="s">
        <v>150</v>
      </c>
      <c r="AF34" s="95">
        <v>132.08000000000001</v>
      </c>
      <c r="AG34" s="95">
        <v>133.04</v>
      </c>
    </row>
    <row r="35" spans="1:51" x14ac:dyDescent="0.25">
      <c r="A35" s="3">
        <v>45496</v>
      </c>
      <c r="B35" s="5" t="s">
        <v>24</v>
      </c>
      <c r="C35" s="5" t="s">
        <v>25</v>
      </c>
      <c r="D35" s="57">
        <v>56</v>
      </c>
      <c r="E35" s="5" t="s">
        <v>16</v>
      </c>
      <c r="F35" s="57">
        <v>10</v>
      </c>
      <c r="G35" s="20">
        <v>5447.32</v>
      </c>
      <c r="H35" s="55"/>
      <c r="I35" s="49"/>
      <c r="M35" s="94" t="str">
        <f>[1]!s_info_name(N35)</f>
        <v>唯品会</v>
      </c>
      <c r="N35" s="94" t="s">
        <v>24</v>
      </c>
      <c r="O35" s="95">
        <v>97.576703999999992</v>
      </c>
      <c r="P35" s="95">
        <v>98.133567999999983</v>
      </c>
      <c r="Q35" s="95">
        <v>98.872294999999994</v>
      </c>
      <c r="R35" s="95">
        <v>97.273660000000007</v>
      </c>
      <c r="S35" s="95">
        <v>99.084315000000018</v>
      </c>
      <c r="T35" s="95">
        <v>99.082926</v>
      </c>
      <c r="V35" s="95">
        <v>13.87</v>
      </c>
      <c r="W35" s="49">
        <f>V35*(1+$AY$28)*$AF$7</f>
        <v>99.5339900990313</v>
      </c>
      <c r="X35" s="49">
        <f t="shared" si="1"/>
        <v>5573.9034455457531</v>
      </c>
      <c r="AD35" s="94" t="str">
        <f>[1]!s_info_name(AE35)</f>
        <v>奇富科技</v>
      </c>
      <c r="AE35" s="94" t="s">
        <v>192</v>
      </c>
      <c r="AF35" s="95">
        <v>18.93</v>
      </c>
      <c r="AG35" s="95">
        <v>19.239999999999998</v>
      </c>
    </row>
    <row r="36" spans="1:51" x14ac:dyDescent="0.25">
      <c r="A36" s="3">
        <v>45496</v>
      </c>
      <c r="B36" s="5" t="s">
        <v>26</v>
      </c>
      <c r="C36" s="113" t="s">
        <v>27</v>
      </c>
      <c r="D36" s="57">
        <v>14</v>
      </c>
      <c r="E36" s="5" t="s">
        <v>17</v>
      </c>
      <c r="F36" s="57">
        <v>0</v>
      </c>
      <c r="G36" s="20">
        <v>763.78</v>
      </c>
      <c r="H36" s="55"/>
      <c r="I36" s="49"/>
      <c r="M36" s="94" t="str">
        <f>[1]!s_info_name(N36)</f>
        <v>微博</v>
      </c>
      <c r="N36" s="94" t="s">
        <v>26</v>
      </c>
      <c r="O36" s="95">
        <v>58.774271999999996</v>
      </c>
      <c r="P36" s="95">
        <v>56.626491999999999</v>
      </c>
      <c r="Q36" s="95">
        <v>56.315150000000003</v>
      </c>
      <c r="R36" s="95">
        <v>54.555975000000004</v>
      </c>
      <c r="S36" s="95">
        <v>56.711325000000009</v>
      </c>
      <c r="T36" s="95">
        <v>56.710529999999999</v>
      </c>
      <c r="V36" s="95">
        <v>7.9</v>
      </c>
      <c r="W36" s="112">
        <f>AS29*AF7</f>
        <v>57.445750946625196</v>
      </c>
      <c r="X36" s="49">
        <f t="shared" si="1"/>
        <v>804.24051325275275</v>
      </c>
      <c r="AD36" s="94" t="str">
        <f>[1]!s_info_name(AE36)</f>
        <v>好未来</v>
      </c>
      <c r="AE36" s="94" t="s">
        <v>22</v>
      </c>
      <c r="AF36" s="95">
        <v>10.050000000000001</v>
      </c>
      <c r="AG36" s="95">
        <v>10.09</v>
      </c>
    </row>
    <row r="37" spans="1:51" x14ac:dyDescent="0.25">
      <c r="A37" s="3">
        <v>45496</v>
      </c>
      <c r="B37" s="5" t="s">
        <v>193</v>
      </c>
      <c r="C37" s="5" t="s">
        <v>197</v>
      </c>
      <c r="D37" s="57">
        <v>153</v>
      </c>
      <c r="E37" s="5" t="s">
        <v>16</v>
      </c>
      <c r="F37" s="57">
        <v>10</v>
      </c>
      <c r="G37" s="20">
        <v>8619.84</v>
      </c>
      <c r="H37" s="55"/>
      <c r="I37" s="49"/>
      <c r="M37" s="94" t="str">
        <f>[1]!s_info_name(N37)</f>
        <v>满帮集团</v>
      </c>
      <c r="N37" s="94" t="s">
        <v>193</v>
      </c>
      <c r="O37" s="95">
        <v>57.133727999999998</v>
      </c>
      <c r="P37" s="95">
        <v>56.483855999999996</v>
      </c>
      <c r="Q37" s="95">
        <v>56.386434999999999</v>
      </c>
      <c r="R37" s="95">
        <v>56.338850000000001</v>
      </c>
      <c r="S37" s="95">
        <v>56.782660000000007</v>
      </c>
      <c r="T37" s="95">
        <v>56.781863999999999</v>
      </c>
      <c r="V37" s="95">
        <v>7.91</v>
      </c>
      <c r="W37" s="49">
        <f>V37*(1+$AY$28)*$AF$7</f>
        <v>56.763796804854913</v>
      </c>
      <c r="X37" s="49">
        <f t="shared" si="1"/>
        <v>8684.8609111428013</v>
      </c>
      <c r="AD37" s="94" t="str">
        <f>[1]!s_info_name(AE37)</f>
        <v>腾讯音乐</v>
      </c>
      <c r="AE37" s="94" t="s">
        <v>153</v>
      </c>
      <c r="AF37" s="95">
        <v>14.44</v>
      </c>
      <c r="AG37" s="95">
        <v>14.26</v>
      </c>
    </row>
    <row r="38" spans="1:51" x14ac:dyDescent="0.25">
      <c r="A38" s="3">
        <v>45496</v>
      </c>
      <c r="B38" s="5" t="s">
        <v>28</v>
      </c>
      <c r="C38" s="5" t="s">
        <v>162</v>
      </c>
      <c r="D38" s="57">
        <v>5</v>
      </c>
      <c r="E38" s="5" t="s">
        <v>16</v>
      </c>
      <c r="F38" s="57">
        <v>10</v>
      </c>
      <c r="G38" s="20">
        <v>1200.5899999999999</v>
      </c>
      <c r="H38" s="55"/>
      <c r="I38" s="49"/>
      <c r="M38" s="94" t="str">
        <f>[1]!s_info_name(N38)</f>
        <v>欢聚</v>
      </c>
      <c r="N38" s="94" t="s">
        <v>28</v>
      </c>
      <c r="O38" s="95">
        <v>244.441056</v>
      </c>
      <c r="P38" s="95">
        <v>240.91220399999997</v>
      </c>
      <c r="Q38" s="95">
        <v>238.16318499999997</v>
      </c>
      <c r="R38" s="95">
        <v>240.117605</v>
      </c>
      <c r="S38" s="95">
        <v>245.39240000000001</v>
      </c>
      <c r="T38" s="95">
        <v>245.38896</v>
      </c>
      <c r="V38" s="95">
        <v>33.409999999999997</v>
      </c>
      <c r="W38" s="49">
        <f>V38*(1+$AY$28)*$AF$7</f>
        <v>239.75707348295856</v>
      </c>
      <c r="X38" s="49">
        <f t="shared" si="1"/>
        <v>1198.7853674147927</v>
      </c>
      <c r="AD38" s="94" t="str">
        <f>[1]!s_info_name(AE38)</f>
        <v>唯品会</v>
      </c>
      <c r="AE38" s="94" t="s">
        <v>24</v>
      </c>
      <c r="AF38" s="95">
        <v>13.87</v>
      </c>
      <c r="AG38" s="95">
        <v>13.64</v>
      </c>
    </row>
    <row r="39" spans="1:51" x14ac:dyDescent="0.25">
      <c r="A39"/>
      <c r="B39"/>
      <c r="C39"/>
      <c r="D39"/>
      <c r="E39"/>
      <c r="F39"/>
      <c r="G39" s="91"/>
      <c r="H39" s="56"/>
      <c r="I39" s="56"/>
      <c r="AD39" s="94" t="str">
        <f>[1]!s_info_name(AE39)</f>
        <v>微博</v>
      </c>
      <c r="AE39" s="94" t="s">
        <v>26</v>
      </c>
      <c r="AF39" s="95">
        <v>7.9</v>
      </c>
      <c r="AG39" s="95">
        <v>7.65</v>
      </c>
    </row>
    <row r="40" spans="1:51" x14ac:dyDescent="0.25">
      <c r="A40"/>
      <c r="B40"/>
      <c r="C40"/>
      <c r="D40"/>
      <c r="E40"/>
      <c r="F40"/>
      <c r="G40"/>
      <c r="H40" s="70"/>
      <c r="I40" s="70"/>
      <c r="AD40" s="94" t="str">
        <f>[1]!s_info_name(AE40)</f>
        <v>满帮集团</v>
      </c>
      <c r="AE40" s="94" t="s">
        <v>193</v>
      </c>
      <c r="AF40" s="95">
        <v>7.91</v>
      </c>
      <c r="AG40" s="95">
        <v>7.9</v>
      </c>
    </row>
    <row r="41" spans="1:51" x14ac:dyDescent="0.25">
      <c r="C41" s="112" t="s">
        <v>385</v>
      </c>
      <c r="G41" s="114" t="s">
        <v>384</v>
      </c>
      <c r="AD41" s="94" t="str">
        <f>[1]!s_info_name(AE41)</f>
        <v>欢聚</v>
      </c>
      <c r="AE41" s="94" t="s">
        <v>28</v>
      </c>
      <c r="AF41" s="95">
        <v>33.409999999999997</v>
      </c>
      <c r="AG41" s="95">
        <v>33.67</v>
      </c>
    </row>
    <row r="42" spans="1:51" x14ac:dyDescent="0.25">
      <c r="O42" s="94"/>
      <c r="P42" s="94"/>
      <c r="Q42" s="50"/>
      <c r="R42" s="50"/>
    </row>
    <row r="43" spans="1:51" x14ac:dyDescent="0.25">
      <c r="M43" s="94"/>
      <c r="N43" s="94"/>
      <c r="O43" s="94"/>
      <c r="P43" s="94"/>
      <c r="Q43" s="95"/>
      <c r="R43" s="95"/>
    </row>
    <row r="44" spans="1:51" x14ac:dyDescent="0.25">
      <c r="O44" s="94"/>
      <c r="P44" s="94"/>
      <c r="Q44" s="95"/>
      <c r="R44" s="94" t="s">
        <v>323</v>
      </c>
      <c r="AE44" s="94"/>
      <c r="AN44" s="94" t="s">
        <v>2</v>
      </c>
      <c r="AO44" s="94" t="s">
        <v>325</v>
      </c>
      <c r="AP44" s="50">
        <v>45488</v>
      </c>
      <c r="AQ44" s="50">
        <v>45489</v>
      </c>
      <c r="AR44" s="50">
        <v>45490</v>
      </c>
      <c r="AS44" s="50">
        <v>45491</v>
      </c>
      <c r="AT44" s="50">
        <v>45492</v>
      </c>
      <c r="AU44" s="50">
        <v>45495</v>
      </c>
      <c r="AV44" s="50">
        <v>45496</v>
      </c>
    </row>
    <row r="45" spans="1:51" x14ac:dyDescent="0.25">
      <c r="O45" s="94"/>
      <c r="P45" s="94"/>
      <c r="Q45" s="95"/>
      <c r="R45" s="94" t="s">
        <v>324</v>
      </c>
      <c r="AE45" s="94"/>
      <c r="AJ45" s="94" t="s">
        <v>323</v>
      </c>
      <c r="AK45" s="94" t="s">
        <v>324</v>
      </c>
      <c r="AL45" s="94"/>
      <c r="AN45" s="94" t="str">
        <f>[1]!s_info_name(AO45)</f>
        <v>阿里健康</v>
      </c>
      <c r="AO45" s="94" t="s">
        <v>321</v>
      </c>
      <c r="AP45" s="95">
        <f>[1]!WSD(AO45:AO49,AK45,"2024-07-14","","TradingCalendar=SSE","Currency=CNY","rptType=1","Direction=V","ShowParams=Y","cols=7;rows=5")</f>
        <v>2.9500558999999997</v>
      </c>
      <c r="AQ45" s="95">
        <v>2.8780919999999997</v>
      </c>
      <c r="AR45" s="95">
        <v>3.1244436000000002</v>
      </c>
      <c r="AS45" s="95">
        <v>3.0956462999999999</v>
      </c>
      <c r="AT45" s="95">
        <v>3.0132630000000002</v>
      </c>
      <c r="AU45" s="95">
        <v>3.0413888999999998</v>
      </c>
      <c r="AV45" s="95">
        <v>3.0428541</v>
      </c>
    </row>
    <row r="46" spans="1:51" x14ac:dyDescent="0.25">
      <c r="O46" s="94"/>
      <c r="P46" s="94"/>
      <c r="Q46" s="94" t="s">
        <v>2</v>
      </c>
      <c r="R46" s="94" t="str">
        <f>[1]!s_info_name(R47)</f>
        <v>拼多多</v>
      </c>
      <c r="S46" s="94" t="str">
        <f>[1]!s_info_name(S47)</f>
        <v>微博-SW</v>
      </c>
      <c r="T46" s="94" t="str">
        <f>[1]!s_info_name(T47)</f>
        <v>爱奇艺</v>
      </c>
      <c r="U46" s="94" t="str">
        <f>[1]!s_info_name(U47)</f>
        <v>京东集团-SW</v>
      </c>
      <c r="V46" s="94" t="str">
        <f>[1]!s_info_name(V47)</f>
        <v>平安好医生</v>
      </c>
      <c r="W46" s="94"/>
      <c r="X46" s="94"/>
      <c r="Y46" s="94"/>
      <c r="Z46" s="94"/>
      <c r="AA46" s="94"/>
      <c r="AB46" s="94"/>
      <c r="AC46" s="94"/>
      <c r="AD46" s="94"/>
      <c r="AE46" s="95"/>
      <c r="AF46" s="94"/>
      <c r="AG46" s="94"/>
      <c r="AN46" s="94" t="str">
        <f>[1]!s_info_name(AO46)</f>
        <v>腾讯控股</v>
      </c>
      <c r="AO46" s="94" t="s">
        <v>164</v>
      </c>
      <c r="AP46" s="95">
        <v>356.38136599999996</v>
      </c>
      <c r="AQ46" s="95">
        <v>345.37103999999999</v>
      </c>
      <c r="AR46" s="95">
        <v>339.66904400000004</v>
      </c>
      <c r="AS46" s="95">
        <v>337.14236399999999</v>
      </c>
      <c r="AT46" s="95">
        <v>332.37204000000003</v>
      </c>
      <c r="AU46" s="95">
        <v>340.85475599999995</v>
      </c>
      <c r="AV46" s="95">
        <v>341.01896399999998</v>
      </c>
    </row>
    <row r="47" spans="1:51" x14ac:dyDescent="0.25">
      <c r="Q47" s="94" t="s">
        <v>325</v>
      </c>
      <c r="R47" s="94" t="s">
        <v>150</v>
      </c>
      <c r="S47" s="94" t="s">
        <v>326</v>
      </c>
      <c r="T47" s="94" t="s">
        <v>29</v>
      </c>
      <c r="U47" s="94" t="s">
        <v>253</v>
      </c>
      <c r="V47" s="94" t="s">
        <v>166</v>
      </c>
      <c r="W47" s="94"/>
      <c r="X47" s="94"/>
      <c r="Y47" s="94"/>
      <c r="Z47" s="94"/>
      <c r="AA47" s="94"/>
      <c r="AB47" s="94"/>
      <c r="AC47" s="94"/>
      <c r="AD47" s="94"/>
      <c r="AE47" s="95"/>
      <c r="AF47" s="94"/>
      <c r="AG47" s="94"/>
      <c r="AN47" s="94" t="str">
        <f>[1]!s_info_name(AO47)</f>
        <v>汽车之家</v>
      </c>
      <c r="AO47" s="94" t="s">
        <v>20</v>
      </c>
      <c r="AP47" s="95">
        <v>195.11236799999998</v>
      </c>
      <c r="AQ47" s="95">
        <v>199.57574399999999</v>
      </c>
      <c r="AR47" s="95">
        <v>198.26403999999999</v>
      </c>
      <c r="AS47" s="95">
        <v>189.76067</v>
      </c>
      <c r="AT47" s="95">
        <v>179.85642999999999</v>
      </c>
      <c r="AU47" s="95">
        <v>178.19483000000002</v>
      </c>
      <c r="AV47" s="95">
        <v>178.19233199999999</v>
      </c>
    </row>
    <row r="48" spans="1:51" x14ac:dyDescent="0.25">
      <c r="Q48" s="50">
        <v>45489</v>
      </c>
      <c r="R48" s="95">
        <f>[1]!WSD(R47:AD47,R45,"2024-07-16","","TradingCalendar=SSE","rptType=1","ShowParams=Y","cols=5;rows=6")</f>
        <v>135.84</v>
      </c>
      <c r="S48" s="95">
        <v>62.95</v>
      </c>
      <c r="T48" s="95">
        <v>3.75</v>
      </c>
      <c r="U48" s="95">
        <v>104.5</v>
      </c>
      <c r="V48" s="95">
        <v>10.4</v>
      </c>
      <c r="W48" s="95"/>
      <c r="X48" s="95"/>
      <c r="Y48" s="95"/>
      <c r="Z48" s="95"/>
      <c r="AA48" s="95"/>
      <c r="AB48" s="95"/>
      <c r="AC48" s="95"/>
      <c r="AD48" s="95"/>
      <c r="AF48" s="95"/>
      <c r="AG48" s="95"/>
      <c r="AN48" s="94" t="str">
        <f>[1]!s_info_name(AO48)</f>
        <v>陆金所控股</v>
      </c>
      <c r="AO48" s="94" t="s">
        <v>180</v>
      </c>
      <c r="AP48" s="95">
        <v>20.538143999999999</v>
      </c>
      <c r="AQ48" s="95">
        <v>20.185824</v>
      </c>
      <c r="AR48" s="95">
        <v>19.327177999999996</v>
      </c>
      <c r="AS48" s="95">
        <v>19.603375</v>
      </c>
      <c r="AT48" s="95">
        <v>20.039515000000002</v>
      </c>
      <c r="AU48" s="95">
        <v>20.615815000000001</v>
      </c>
      <c r="AV48" s="95">
        <v>20.615525999999999</v>
      </c>
    </row>
    <row r="49" spans="17:48" x14ac:dyDescent="0.25">
      <c r="Q49" s="50">
        <v>45490</v>
      </c>
      <c r="R49" s="95">
        <v>131.82</v>
      </c>
      <c r="S49" s="95">
        <v>63.2</v>
      </c>
      <c r="T49" s="95">
        <v>3.66</v>
      </c>
      <c r="U49" s="95">
        <v>106.7</v>
      </c>
      <c r="V49" s="95">
        <v>11.4</v>
      </c>
      <c r="W49" s="95"/>
      <c r="X49" s="95"/>
      <c r="Y49" s="95"/>
      <c r="Z49" s="95"/>
      <c r="AA49" s="95"/>
      <c r="AB49" s="95"/>
      <c r="AC49" s="95"/>
      <c r="AD49" s="95"/>
      <c r="AF49" s="95"/>
      <c r="AG49" s="95"/>
      <c r="AN49" s="94" t="str">
        <f>[1]!s_info_name(AO49)</f>
        <v>微博</v>
      </c>
      <c r="AO49" s="94" t="s">
        <v>26</v>
      </c>
      <c r="AP49" s="95">
        <v>57.620903999999996</v>
      </c>
      <c r="AQ49" s="95">
        <v>58.774271999999996</v>
      </c>
      <c r="AR49" s="95">
        <v>56.626491999999999</v>
      </c>
      <c r="AS49" s="95">
        <v>56.315150000000003</v>
      </c>
      <c r="AT49" s="95">
        <v>54.555975000000004</v>
      </c>
      <c r="AU49" s="95">
        <v>56.711325000000009</v>
      </c>
      <c r="AV49" s="95">
        <v>56.710529999999999</v>
      </c>
    </row>
    <row r="50" spans="17:48" x14ac:dyDescent="0.25">
      <c r="Q50" s="50">
        <v>45491</v>
      </c>
      <c r="R50" s="95">
        <v>132.08000000000001</v>
      </c>
      <c r="S50" s="95">
        <v>62.65</v>
      </c>
      <c r="T50" s="95">
        <v>3.645</v>
      </c>
      <c r="U50" s="95">
        <v>106.2</v>
      </c>
      <c r="V50" s="95">
        <v>11.38</v>
      </c>
      <c r="W50" s="95"/>
    </row>
    <row r="51" spans="17:48" x14ac:dyDescent="0.25">
      <c r="Q51" s="50">
        <v>45492</v>
      </c>
      <c r="R51" s="95">
        <v>133.04</v>
      </c>
      <c r="S51" s="95">
        <v>61.65</v>
      </c>
      <c r="T51" s="95">
        <v>3.5</v>
      </c>
      <c r="U51" s="95">
        <v>102.7</v>
      </c>
      <c r="V51" s="95">
        <v>11.08</v>
      </c>
      <c r="W51" s="95"/>
    </row>
    <row r="52" spans="17:48" x14ac:dyDescent="0.25">
      <c r="Q52" s="50">
        <v>45495</v>
      </c>
      <c r="R52" s="95">
        <v>134.24</v>
      </c>
      <c r="S52" s="95">
        <v>61.3</v>
      </c>
      <c r="T52" s="95">
        <v>3.38</v>
      </c>
      <c r="U52" s="95">
        <v>104.1</v>
      </c>
      <c r="V52" s="95">
        <v>11.44</v>
      </c>
    </row>
    <row r="53" spans="17:48" x14ac:dyDescent="0.25">
      <c r="Q53" s="50">
        <v>45496</v>
      </c>
      <c r="R53" s="95">
        <v>134.24</v>
      </c>
      <c r="S53" s="95">
        <v>61.3</v>
      </c>
      <c r="T53" s="95">
        <v>3.38</v>
      </c>
      <c r="U53" s="95">
        <v>104.1</v>
      </c>
      <c r="V53" s="95">
        <v>11.44</v>
      </c>
    </row>
    <row r="59" spans="17:48" x14ac:dyDescent="0.25">
      <c r="V59" s="94" t="s">
        <v>330</v>
      </c>
      <c r="W59" s="94" t="s">
        <v>321</v>
      </c>
    </row>
    <row r="60" spans="17:48" x14ac:dyDescent="0.25">
      <c r="V60" s="94" t="s">
        <v>332</v>
      </c>
      <c r="W60" s="94" t="s">
        <v>381</v>
      </c>
    </row>
    <row r="61" spans="17:48" x14ac:dyDescent="0.25">
      <c r="V61" s="94" t="s">
        <v>334</v>
      </c>
      <c r="W61" s="97">
        <f>RTD("wdf.rtq", ,"0241.HK", "rt_last","RT_Price")</f>
        <v>3.25</v>
      </c>
    </row>
  </sheetData>
  <phoneticPr fontId="1" type="noConversion"/>
  <conditionalFormatting sqref="G6:G38">
    <cfRule type="top10" dxfId="1" priority="2" rank="10"/>
  </conditionalFormatting>
  <conditionalFormatting sqref="G41">
    <cfRule type="top10" dxfId="0" priority="1" rank="10"/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10"/>
  <sheetViews>
    <sheetView zoomScaleNormal="100" workbookViewId="0">
      <selection activeCell="K10" sqref="K10"/>
    </sheetView>
  </sheetViews>
  <sheetFormatPr defaultRowHeight="12.5" x14ac:dyDescent="0.25"/>
  <cols>
    <col min="1" max="1" width="13.6328125" customWidth="1"/>
    <col min="2" max="2" width="12.6328125" customWidth="1"/>
    <col min="3" max="3" width="44.6328125" customWidth="1"/>
    <col min="4" max="4" width="10.6328125" customWidth="1"/>
    <col min="5" max="5" width="11.6328125" customWidth="1"/>
    <col min="6" max="6" width="15.6328125" customWidth="1"/>
    <col min="7" max="7" width="13.6328125" style="19" customWidth="1"/>
    <col min="8" max="8" width="12.54296875" style="6" customWidth="1"/>
    <col min="9" max="9" width="12.26953125" style="6" customWidth="1"/>
    <col min="10" max="10" width="15.81640625" style="6" customWidth="1"/>
  </cols>
  <sheetData>
    <row r="1" spans="1:11" ht="25" x14ac:dyDescent="0.25">
      <c r="A1" s="77" t="s">
        <v>0</v>
      </c>
      <c r="B1" s="78" t="s">
        <v>1</v>
      </c>
      <c r="C1" s="76"/>
      <c r="D1" s="1"/>
      <c r="E1" s="2"/>
      <c r="F1" s="2"/>
      <c r="G1" s="2"/>
      <c r="I1" s="22"/>
      <c r="J1" s="22"/>
    </row>
    <row r="2" spans="1:11" ht="13" x14ac:dyDescent="0.25">
      <c r="A2" s="75" t="s">
        <v>157</v>
      </c>
      <c r="B2" s="5" t="s">
        <v>322</v>
      </c>
      <c r="C2" s="3"/>
      <c r="E2" s="4"/>
      <c r="F2" s="5" t="s">
        <v>315</v>
      </c>
      <c r="G2" s="3">
        <v>45485</v>
      </c>
      <c r="H2" s="4"/>
      <c r="I2" s="4"/>
      <c r="J2" s="4"/>
      <c r="K2" s="92">
        <v>45488</v>
      </c>
    </row>
    <row r="3" spans="1:11" x14ac:dyDescent="0.25">
      <c r="A3" s="77" t="s">
        <v>3</v>
      </c>
      <c r="B3" s="5" t="s">
        <v>131</v>
      </c>
    </row>
    <row r="4" spans="1:11" x14ac:dyDescent="0.25">
      <c r="A4" t="s">
        <v>4</v>
      </c>
      <c r="B4" s="5" t="s">
        <v>32</v>
      </c>
      <c r="C4" t="s">
        <v>6</v>
      </c>
      <c r="D4" t="s">
        <v>7</v>
      </c>
      <c r="E4" t="s">
        <v>8</v>
      </c>
      <c r="F4" t="s">
        <v>9</v>
      </c>
      <c r="G4" s="19" t="s">
        <v>10</v>
      </c>
    </row>
    <row r="5" spans="1:11" ht="25" x14ac:dyDescent="0.25">
      <c r="A5" s="77" t="s">
        <v>2</v>
      </c>
      <c r="B5" s="77" t="s">
        <v>3</v>
      </c>
      <c r="C5" s="77" t="s">
        <v>11</v>
      </c>
      <c r="D5" s="77" t="s">
        <v>12</v>
      </c>
      <c r="E5" s="79" t="s">
        <v>13</v>
      </c>
      <c r="F5" s="79" t="s">
        <v>14</v>
      </c>
      <c r="G5" s="80" t="s">
        <v>15</v>
      </c>
      <c r="H5" s="81"/>
      <c r="I5" s="81"/>
      <c r="J5" s="81"/>
    </row>
    <row r="6" spans="1:11" x14ac:dyDescent="0.25">
      <c r="A6" s="3">
        <f>[1]!wset("etfconstituent","date="&amp;B2,"windcode="&amp;B3,"field=date,wind_code,sec_name,volume,cash_substitution_mark,cash_substitution_premium_ratio,fixed_substitution_amount","cols=7;rows=102","cols=7;rows=101")</f>
        <v>45490</v>
      </c>
      <c r="B6" s="5" t="s">
        <v>317</v>
      </c>
      <c r="C6" s="5" t="s">
        <v>318</v>
      </c>
      <c r="D6" s="57">
        <v>79</v>
      </c>
      <c r="E6" s="5" t="s">
        <v>319</v>
      </c>
      <c r="F6" s="57">
        <v>10</v>
      </c>
      <c r="G6" s="20">
        <v>132054.56</v>
      </c>
      <c r="I6" s="106">
        <f>[1]!s_dq_close(B6,$F$2,1)</f>
        <v>234.82</v>
      </c>
      <c r="J6" s="4">
        <f>[1]!s_dq_high(B6,$F$2,1)</f>
        <v>236.27</v>
      </c>
    </row>
    <row r="7" spans="1:11" x14ac:dyDescent="0.25">
      <c r="A7" s="3">
        <v>45490</v>
      </c>
      <c r="B7" s="5" t="s">
        <v>233</v>
      </c>
      <c r="C7" s="5" t="s">
        <v>234</v>
      </c>
      <c r="D7" s="57">
        <v>6</v>
      </c>
      <c r="E7" s="5" t="s">
        <v>16</v>
      </c>
      <c r="F7" s="57">
        <v>10</v>
      </c>
      <c r="G7" s="20">
        <v>6299.22</v>
      </c>
      <c r="I7" s="106" t="s">
        <v>377</v>
      </c>
      <c r="J7" s="4" t="s">
        <v>380</v>
      </c>
    </row>
    <row r="8" spans="1:11" x14ac:dyDescent="0.25">
      <c r="A8" s="3">
        <v>45490</v>
      </c>
      <c r="B8" s="5" t="s">
        <v>33</v>
      </c>
      <c r="C8" s="5" t="s">
        <v>133</v>
      </c>
      <c r="D8" s="57">
        <v>6</v>
      </c>
      <c r="E8" s="5" t="s">
        <v>16</v>
      </c>
      <c r="F8" s="57">
        <v>10</v>
      </c>
      <c r="G8" s="20">
        <v>24205.49</v>
      </c>
      <c r="I8" s="106" t="s">
        <v>377</v>
      </c>
      <c r="J8" s="4" t="s">
        <v>380</v>
      </c>
    </row>
    <row r="9" spans="1:11" x14ac:dyDescent="0.25">
      <c r="A9" s="3">
        <v>45490</v>
      </c>
      <c r="B9" s="5" t="s">
        <v>34</v>
      </c>
      <c r="C9" s="5" t="s">
        <v>35</v>
      </c>
      <c r="D9" s="57">
        <v>7</v>
      </c>
      <c r="E9" s="5" t="s">
        <v>16</v>
      </c>
      <c r="F9" s="57">
        <v>10</v>
      </c>
      <c r="G9" s="20">
        <v>11866.77</v>
      </c>
      <c r="I9" s="106" t="s">
        <v>377</v>
      </c>
      <c r="J9" s="4" t="s">
        <v>380</v>
      </c>
    </row>
    <row r="10" spans="1:11" x14ac:dyDescent="0.25">
      <c r="A10" s="3">
        <v>45490</v>
      </c>
      <c r="B10" s="5" t="s">
        <v>36</v>
      </c>
      <c r="C10" s="5" t="s">
        <v>37</v>
      </c>
      <c r="D10" s="57">
        <v>5</v>
      </c>
      <c r="E10" s="5" t="s">
        <v>16</v>
      </c>
      <c r="F10" s="57">
        <v>10</v>
      </c>
      <c r="G10" s="20">
        <v>8651.69</v>
      </c>
      <c r="I10" s="106" t="s">
        <v>389</v>
      </c>
      <c r="J10" s="4" t="s">
        <v>377</v>
      </c>
    </row>
    <row r="11" spans="1:11" ht="100" x14ac:dyDescent="0.25">
      <c r="A11" s="3">
        <v>45490</v>
      </c>
      <c r="B11" s="5" t="s">
        <v>38</v>
      </c>
      <c r="C11" s="5" t="s">
        <v>39</v>
      </c>
      <c r="D11" s="57">
        <v>3</v>
      </c>
      <c r="E11" s="5" t="s">
        <v>16</v>
      </c>
      <c r="F11" s="57">
        <v>10</v>
      </c>
      <c r="G11" s="20">
        <v>5416.29</v>
      </c>
      <c r="I11" s="115" t="s">
        <v>389</v>
      </c>
      <c r="J11" s="116" t="s">
        <v>377</v>
      </c>
    </row>
    <row r="12" spans="1:11" x14ac:dyDescent="0.25">
      <c r="A12" s="3">
        <v>45490</v>
      </c>
      <c r="B12" s="5" t="s">
        <v>176</v>
      </c>
      <c r="C12" s="5" t="s">
        <v>122</v>
      </c>
      <c r="D12" s="57">
        <v>7</v>
      </c>
      <c r="E12" s="5" t="s">
        <v>16</v>
      </c>
      <c r="F12" s="57">
        <v>10</v>
      </c>
      <c r="G12" s="20">
        <v>4539.6400000000003</v>
      </c>
      <c r="I12" s="106" t="s">
        <v>389</v>
      </c>
      <c r="J12" s="4" t="s">
        <v>377</v>
      </c>
    </row>
    <row r="13" spans="1:11" x14ac:dyDescent="0.25">
      <c r="A13" s="3">
        <v>45490</v>
      </c>
      <c r="B13" s="5" t="s">
        <v>40</v>
      </c>
      <c r="C13" s="5" t="s">
        <v>213</v>
      </c>
      <c r="D13" s="57">
        <v>11</v>
      </c>
      <c r="E13" s="5" t="s">
        <v>16</v>
      </c>
      <c r="F13" s="57">
        <v>10</v>
      </c>
      <c r="G13" s="20">
        <v>19262</v>
      </c>
      <c r="I13" s="106" t="s">
        <v>389</v>
      </c>
      <c r="J13" s="4" t="s">
        <v>377</v>
      </c>
    </row>
    <row r="14" spans="1:11" x14ac:dyDescent="0.25">
      <c r="A14" s="3">
        <v>45490</v>
      </c>
      <c r="B14" s="5" t="s">
        <v>123</v>
      </c>
      <c r="C14" s="5" t="s">
        <v>124</v>
      </c>
      <c r="D14" s="57">
        <v>22</v>
      </c>
      <c r="E14" s="5" t="s">
        <v>16</v>
      </c>
      <c r="F14" s="57">
        <v>10</v>
      </c>
      <c r="G14" s="20">
        <v>28213.279999999999</v>
      </c>
      <c r="I14" s="106" t="s">
        <v>389</v>
      </c>
      <c r="J14" s="4" t="s">
        <v>377</v>
      </c>
    </row>
    <row r="15" spans="1:11" x14ac:dyDescent="0.25">
      <c r="A15" s="3">
        <v>45490</v>
      </c>
      <c r="B15" s="5" t="s">
        <v>41</v>
      </c>
      <c r="C15" s="5" t="s">
        <v>42</v>
      </c>
      <c r="D15" s="57">
        <v>7</v>
      </c>
      <c r="E15" s="5" t="s">
        <v>16</v>
      </c>
      <c r="F15" s="57">
        <v>10</v>
      </c>
      <c r="G15" s="20">
        <v>16480.79</v>
      </c>
      <c r="I15" s="106" t="s">
        <v>389</v>
      </c>
      <c r="J15" s="4" t="s">
        <v>377</v>
      </c>
    </row>
    <row r="16" spans="1:11" x14ac:dyDescent="0.25">
      <c r="A16" s="3">
        <v>45490</v>
      </c>
      <c r="B16" s="5" t="s">
        <v>43</v>
      </c>
      <c r="C16" s="5" t="s">
        <v>44</v>
      </c>
      <c r="D16" s="57">
        <v>54</v>
      </c>
      <c r="E16" s="5" t="s">
        <v>16</v>
      </c>
      <c r="F16" s="57">
        <v>10</v>
      </c>
      <c r="G16" s="20">
        <v>74214.58</v>
      </c>
      <c r="I16" s="106" t="e">
        <f t="shared" ref="I15:I70" ca="1" si="0">[2]!s_dq_close(B16,$F$2,1)</f>
        <v>#NAME?</v>
      </c>
      <c r="J16" s="4" t="e">
        <f t="shared" ref="J15:J70" ca="1" si="1">[2]!s_dq_high(B16,$F$2,1)</f>
        <v>#NAME?</v>
      </c>
    </row>
    <row r="17" spans="1:10" x14ac:dyDescent="0.25">
      <c r="A17" s="3">
        <v>45490</v>
      </c>
      <c r="B17" s="5" t="s">
        <v>125</v>
      </c>
      <c r="C17" s="5" t="s">
        <v>214</v>
      </c>
      <c r="D17" s="57">
        <v>1</v>
      </c>
      <c r="E17" s="5" t="s">
        <v>16</v>
      </c>
      <c r="F17" s="57">
        <v>10</v>
      </c>
      <c r="G17" s="20">
        <v>2335.2199999999998</v>
      </c>
      <c r="I17" s="106" t="e">
        <f t="shared" ca="1" si="0"/>
        <v>#NAME?</v>
      </c>
      <c r="J17" s="4" t="e">
        <f t="shared" ca="1" si="1"/>
        <v>#NAME?</v>
      </c>
    </row>
    <row r="18" spans="1:10" x14ac:dyDescent="0.25">
      <c r="A18" s="3">
        <v>45490</v>
      </c>
      <c r="B18" s="5" t="s">
        <v>286</v>
      </c>
      <c r="C18" s="5" t="s">
        <v>287</v>
      </c>
      <c r="D18" s="57">
        <v>2</v>
      </c>
      <c r="E18" s="5" t="s">
        <v>16</v>
      </c>
      <c r="F18" s="57">
        <v>10</v>
      </c>
      <c r="G18" s="20">
        <v>2532.04</v>
      </c>
      <c r="I18" s="106" t="e">
        <f t="shared" ca="1" si="0"/>
        <v>#NAME?</v>
      </c>
      <c r="J18" s="4" t="e">
        <f t="shared" ca="1" si="1"/>
        <v>#NAME?</v>
      </c>
    </row>
    <row r="19" spans="1:10" x14ac:dyDescent="0.25">
      <c r="A19" s="3">
        <v>45490</v>
      </c>
      <c r="B19" s="5" t="s">
        <v>45</v>
      </c>
      <c r="C19" s="5" t="s">
        <v>46</v>
      </c>
      <c r="D19" s="57">
        <v>1</v>
      </c>
      <c r="E19" s="5" t="s">
        <v>16</v>
      </c>
      <c r="F19" s="57">
        <v>10</v>
      </c>
      <c r="G19" s="20">
        <v>7585.06</v>
      </c>
      <c r="I19" s="106" t="e">
        <f t="shared" ca="1" si="0"/>
        <v>#NAME?</v>
      </c>
      <c r="J19" s="4" t="e">
        <f t="shared" ca="1" si="1"/>
        <v>#NAME?</v>
      </c>
    </row>
    <row r="20" spans="1:10" x14ac:dyDescent="0.25">
      <c r="A20" s="3">
        <v>45490</v>
      </c>
      <c r="B20" s="5" t="s">
        <v>47</v>
      </c>
      <c r="C20" s="5" t="s">
        <v>48</v>
      </c>
      <c r="D20" s="57">
        <v>62</v>
      </c>
      <c r="E20" s="5" t="s">
        <v>16</v>
      </c>
      <c r="F20" s="57">
        <v>10</v>
      </c>
      <c r="G20" s="20">
        <v>75791.740000000005</v>
      </c>
      <c r="I20" s="106" t="e">
        <f t="shared" ca="1" si="0"/>
        <v>#NAME?</v>
      </c>
      <c r="J20" s="4" t="e">
        <f t="shared" ca="1" si="1"/>
        <v>#NAME?</v>
      </c>
    </row>
    <row r="21" spans="1:10" x14ac:dyDescent="0.25">
      <c r="A21" s="3">
        <v>45490</v>
      </c>
      <c r="B21" s="5" t="s">
        <v>250</v>
      </c>
      <c r="C21" s="5" t="s">
        <v>251</v>
      </c>
      <c r="D21" s="57">
        <v>8</v>
      </c>
      <c r="E21" s="5" t="s">
        <v>16</v>
      </c>
      <c r="F21" s="57">
        <v>10</v>
      </c>
      <c r="G21" s="20">
        <v>4456.78</v>
      </c>
      <c r="I21" s="106" t="e">
        <f t="shared" ca="1" si="0"/>
        <v>#NAME?</v>
      </c>
      <c r="J21" s="4" t="e">
        <f t="shared" ca="1" si="1"/>
        <v>#NAME?</v>
      </c>
    </row>
    <row r="22" spans="1:10" x14ac:dyDescent="0.25">
      <c r="A22" s="3">
        <v>45490</v>
      </c>
      <c r="B22" s="5" t="s">
        <v>49</v>
      </c>
      <c r="C22" s="5" t="s">
        <v>50</v>
      </c>
      <c r="D22" s="57">
        <v>2</v>
      </c>
      <c r="E22" s="5" t="s">
        <v>16</v>
      </c>
      <c r="F22" s="57">
        <v>10</v>
      </c>
      <c r="G22" s="20">
        <v>3160.31</v>
      </c>
      <c r="I22" s="106" t="e">
        <f t="shared" ca="1" si="0"/>
        <v>#NAME?</v>
      </c>
      <c r="J22" s="4" t="e">
        <f t="shared" ca="1" si="1"/>
        <v>#NAME?</v>
      </c>
    </row>
    <row r="23" spans="1:10" x14ac:dyDescent="0.25">
      <c r="A23" s="3">
        <v>45490</v>
      </c>
      <c r="B23" s="5" t="s">
        <v>51</v>
      </c>
      <c r="C23" s="5" t="s">
        <v>52</v>
      </c>
      <c r="D23" s="57">
        <v>0</v>
      </c>
      <c r="E23" s="5" t="s">
        <v>17</v>
      </c>
      <c r="F23" s="57">
        <v>0</v>
      </c>
      <c r="G23" s="20">
        <v>0</v>
      </c>
      <c r="I23" s="106" t="e">
        <f t="shared" ca="1" si="0"/>
        <v>#NAME?</v>
      </c>
      <c r="J23" s="4" t="e">
        <f t="shared" ca="1" si="1"/>
        <v>#NAME?</v>
      </c>
    </row>
    <row r="24" spans="1:10" x14ac:dyDescent="0.25">
      <c r="A24" s="3">
        <v>45490</v>
      </c>
      <c r="B24" s="5" t="s">
        <v>266</v>
      </c>
      <c r="C24" s="5" t="s">
        <v>267</v>
      </c>
      <c r="D24" s="57">
        <v>13</v>
      </c>
      <c r="E24" s="5" t="s">
        <v>16</v>
      </c>
      <c r="F24" s="57">
        <v>10</v>
      </c>
      <c r="G24" s="20">
        <v>3310.56</v>
      </c>
      <c r="I24" s="106" t="e">
        <f t="shared" ca="1" si="0"/>
        <v>#NAME?</v>
      </c>
      <c r="J24" s="4" t="e">
        <f t="shared" ca="1" si="1"/>
        <v>#NAME?</v>
      </c>
    </row>
    <row r="25" spans="1:10" x14ac:dyDescent="0.25">
      <c r="A25" s="3">
        <v>45490</v>
      </c>
      <c r="B25" s="5" t="s">
        <v>288</v>
      </c>
      <c r="C25" s="5" t="s">
        <v>289</v>
      </c>
      <c r="D25" s="57">
        <v>6</v>
      </c>
      <c r="E25" s="5" t="s">
        <v>16</v>
      </c>
      <c r="F25" s="57">
        <v>10</v>
      </c>
      <c r="G25" s="20">
        <v>3123.08</v>
      </c>
      <c r="I25" s="106" t="e">
        <f t="shared" ca="1" si="0"/>
        <v>#NAME?</v>
      </c>
      <c r="J25" s="4" t="e">
        <f t="shared" ca="1" si="1"/>
        <v>#NAME?</v>
      </c>
    </row>
    <row r="26" spans="1:10" x14ac:dyDescent="0.25">
      <c r="A26" s="3">
        <v>45490</v>
      </c>
      <c r="B26" s="5" t="s">
        <v>53</v>
      </c>
      <c r="C26" s="5" t="s">
        <v>215</v>
      </c>
      <c r="D26" s="57">
        <v>4</v>
      </c>
      <c r="E26" s="5" t="s">
        <v>16</v>
      </c>
      <c r="F26" s="57">
        <v>10</v>
      </c>
      <c r="G26" s="20">
        <v>9003.41</v>
      </c>
      <c r="I26" s="106" t="e">
        <f t="shared" ca="1" si="0"/>
        <v>#NAME?</v>
      </c>
      <c r="J26" s="4" t="e">
        <f t="shared" ca="1" si="1"/>
        <v>#NAME?</v>
      </c>
    </row>
    <row r="27" spans="1:10" x14ac:dyDescent="0.25">
      <c r="A27" s="3">
        <v>45490</v>
      </c>
      <c r="B27" s="5" t="s">
        <v>290</v>
      </c>
      <c r="C27" s="5" t="s">
        <v>291</v>
      </c>
      <c r="D27" s="57">
        <v>2</v>
      </c>
      <c r="E27" s="5" t="s">
        <v>16</v>
      </c>
      <c r="F27" s="57">
        <v>10</v>
      </c>
      <c r="G27" s="20">
        <v>3319.91</v>
      </c>
      <c r="I27" s="106" t="e">
        <f t="shared" ca="1" si="0"/>
        <v>#NAME?</v>
      </c>
      <c r="J27" s="4" t="e">
        <f t="shared" ca="1" si="1"/>
        <v>#NAME?</v>
      </c>
    </row>
    <row r="28" spans="1:10" x14ac:dyDescent="0.25">
      <c r="A28" s="3">
        <v>45490</v>
      </c>
      <c r="B28" s="5" t="s">
        <v>248</v>
      </c>
      <c r="C28" s="5" t="s">
        <v>249</v>
      </c>
      <c r="D28" s="57">
        <v>4</v>
      </c>
      <c r="E28" s="5" t="s">
        <v>16</v>
      </c>
      <c r="F28" s="57">
        <v>10</v>
      </c>
      <c r="G28" s="20">
        <v>6072.44</v>
      </c>
      <c r="I28" s="106" t="e">
        <f t="shared" ca="1" si="0"/>
        <v>#NAME?</v>
      </c>
      <c r="J28" s="4" t="e">
        <f t="shared" ca="1" si="1"/>
        <v>#NAME?</v>
      </c>
    </row>
    <row r="29" spans="1:10" x14ac:dyDescent="0.25">
      <c r="A29" s="3">
        <v>45490</v>
      </c>
      <c r="B29" s="5" t="s">
        <v>54</v>
      </c>
      <c r="C29" s="5" t="s">
        <v>216</v>
      </c>
      <c r="D29" s="57">
        <v>2</v>
      </c>
      <c r="E29" s="5" t="s">
        <v>16</v>
      </c>
      <c r="F29" s="57">
        <v>10</v>
      </c>
      <c r="G29" s="20">
        <v>4629.5</v>
      </c>
      <c r="I29" s="106" t="e">
        <f t="shared" ca="1" si="0"/>
        <v>#NAME?</v>
      </c>
      <c r="J29" s="4" t="e">
        <f t="shared" ca="1" si="1"/>
        <v>#NAME?</v>
      </c>
    </row>
    <row r="30" spans="1:10" x14ac:dyDescent="0.25">
      <c r="A30" s="3">
        <v>45490</v>
      </c>
      <c r="B30" s="5" t="s">
        <v>55</v>
      </c>
      <c r="C30" s="5" t="s">
        <v>56</v>
      </c>
      <c r="D30" s="57">
        <v>52</v>
      </c>
      <c r="E30" s="5" t="s">
        <v>16</v>
      </c>
      <c r="F30" s="57">
        <v>10</v>
      </c>
      <c r="G30" s="20">
        <v>14440.03</v>
      </c>
      <c r="I30" s="106" t="e">
        <f t="shared" ca="1" si="0"/>
        <v>#NAME?</v>
      </c>
      <c r="J30" s="4" t="e">
        <f t="shared" ca="1" si="1"/>
        <v>#NAME?</v>
      </c>
    </row>
    <row r="31" spans="1:10" x14ac:dyDescent="0.25">
      <c r="A31" s="3">
        <v>45490</v>
      </c>
      <c r="B31" s="5" t="s">
        <v>57</v>
      </c>
      <c r="C31" s="5" t="s">
        <v>198</v>
      </c>
      <c r="D31" s="57">
        <v>6</v>
      </c>
      <c r="E31" s="5" t="s">
        <v>16</v>
      </c>
      <c r="F31" s="57">
        <v>10</v>
      </c>
      <c r="G31" s="20">
        <v>36315.29</v>
      </c>
      <c r="I31" s="106" t="e">
        <f t="shared" ca="1" si="0"/>
        <v>#NAME?</v>
      </c>
      <c r="J31" s="4" t="e">
        <f t="shared" ca="1" si="1"/>
        <v>#NAME?</v>
      </c>
    </row>
    <row r="32" spans="1:10" x14ac:dyDescent="0.25">
      <c r="A32" s="3">
        <v>45490</v>
      </c>
      <c r="B32" s="5" t="s">
        <v>126</v>
      </c>
      <c r="C32" s="5" t="s">
        <v>217</v>
      </c>
      <c r="D32" s="57">
        <v>13</v>
      </c>
      <c r="E32" s="5" t="s">
        <v>16</v>
      </c>
      <c r="F32" s="57">
        <v>10</v>
      </c>
      <c r="G32" s="20">
        <v>5072.92</v>
      </c>
      <c r="I32" s="106" t="e">
        <f t="shared" ca="1" si="0"/>
        <v>#NAME?</v>
      </c>
      <c r="J32" s="4" t="e">
        <f t="shared" ca="1" si="1"/>
        <v>#NAME?</v>
      </c>
    </row>
    <row r="33" spans="1:10" x14ac:dyDescent="0.25">
      <c r="A33" s="3">
        <v>45490</v>
      </c>
      <c r="B33" s="5" t="s">
        <v>211</v>
      </c>
      <c r="C33" s="5" t="s">
        <v>212</v>
      </c>
      <c r="D33" s="57">
        <v>3</v>
      </c>
      <c r="E33" s="5" t="s">
        <v>16</v>
      </c>
      <c r="F33" s="57">
        <v>10</v>
      </c>
      <c r="G33" s="20">
        <v>8073.42</v>
      </c>
      <c r="I33" s="106" t="e">
        <f t="shared" ca="1" si="0"/>
        <v>#NAME?</v>
      </c>
      <c r="J33" s="4" t="e">
        <f t="shared" ca="1" si="1"/>
        <v>#NAME?</v>
      </c>
    </row>
    <row r="34" spans="1:10" x14ac:dyDescent="0.25">
      <c r="A34" s="3">
        <v>45490</v>
      </c>
      <c r="B34" s="5" t="s">
        <v>58</v>
      </c>
      <c r="C34" s="5" t="s">
        <v>199</v>
      </c>
      <c r="D34" s="57">
        <v>54</v>
      </c>
      <c r="E34" s="5" t="s">
        <v>16</v>
      </c>
      <c r="F34" s="57">
        <v>10</v>
      </c>
      <c r="G34" s="20">
        <v>18253.28</v>
      </c>
      <c r="I34" s="106" t="e">
        <f t="shared" ca="1" si="0"/>
        <v>#NAME?</v>
      </c>
      <c r="J34" s="4" t="e">
        <f t="shared" ca="1" si="1"/>
        <v>#NAME?</v>
      </c>
    </row>
    <row r="35" spans="1:10" x14ac:dyDescent="0.25">
      <c r="A35" s="3">
        <v>45490</v>
      </c>
      <c r="B35" s="5" t="s">
        <v>268</v>
      </c>
      <c r="C35" s="5" t="s">
        <v>269</v>
      </c>
      <c r="D35" s="57">
        <v>5</v>
      </c>
      <c r="E35" s="5" t="s">
        <v>16</v>
      </c>
      <c r="F35" s="57">
        <v>10</v>
      </c>
      <c r="G35" s="20">
        <v>2710.25</v>
      </c>
      <c r="I35" s="106" t="e">
        <f t="shared" ca="1" si="0"/>
        <v>#NAME?</v>
      </c>
      <c r="J35" s="4" t="e">
        <f t="shared" ca="1" si="1"/>
        <v>#NAME?</v>
      </c>
    </row>
    <row r="36" spans="1:10" x14ac:dyDescent="0.25">
      <c r="A36" s="3">
        <v>45490</v>
      </c>
      <c r="B36" s="5" t="s">
        <v>59</v>
      </c>
      <c r="C36" s="5" t="s">
        <v>60</v>
      </c>
      <c r="D36" s="57">
        <v>26</v>
      </c>
      <c r="E36" s="5" t="s">
        <v>16</v>
      </c>
      <c r="F36" s="57">
        <v>10</v>
      </c>
      <c r="G36" s="20">
        <v>6415.32</v>
      </c>
      <c r="I36" s="106" t="e">
        <f t="shared" ca="1" si="0"/>
        <v>#NAME?</v>
      </c>
      <c r="J36" s="4" t="e">
        <f t="shared" ca="1" si="1"/>
        <v>#NAME?</v>
      </c>
    </row>
    <row r="37" spans="1:10" x14ac:dyDescent="0.25">
      <c r="A37" s="3">
        <v>45490</v>
      </c>
      <c r="B37" s="5" t="s">
        <v>61</v>
      </c>
      <c r="C37" s="5" t="s">
        <v>62</v>
      </c>
      <c r="D37" s="57">
        <v>1</v>
      </c>
      <c r="E37" s="5" t="s">
        <v>16</v>
      </c>
      <c r="F37" s="57">
        <v>10</v>
      </c>
      <c r="G37" s="20">
        <v>5097.8100000000004</v>
      </c>
      <c r="I37" s="106" t="e">
        <f t="shared" ca="1" si="0"/>
        <v>#NAME?</v>
      </c>
      <c r="J37" s="4" t="e">
        <f t="shared" ca="1" si="1"/>
        <v>#NAME?</v>
      </c>
    </row>
    <row r="38" spans="1:10" x14ac:dyDescent="0.25">
      <c r="A38" s="3">
        <v>45490</v>
      </c>
      <c r="B38" s="5" t="s">
        <v>63</v>
      </c>
      <c r="C38" s="5" t="s">
        <v>218</v>
      </c>
      <c r="D38" s="57">
        <v>7</v>
      </c>
      <c r="E38" s="5" t="s">
        <v>16</v>
      </c>
      <c r="F38" s="57">
        <v>10</v>
      </c>
      <c r="G38" s="20">
        <v>3615.64</v>
      </c>
      <c r="I38" s="106" t="e">
        <f t="shared" ca="1" si="0"/>
        <v>#NAME?</v>
      </c>
      <c r="J38" s="4" t="e">
        <f t="shared" ca="1" si="1"/>
        <v>#NAME?</v>
      </c>
    </row>
    <row r="39" spans="1:10" x14ac:dyDescent="0.25">
      <c r="A39" s="3">
        <v>45490</v>
      </c>
      <c r="B39" s="5" t="s">
        <v>292</v>
      </c>
      <c r="C39" s="5" t="s">
        <v>293</v>
      </c>
      <c r="D39" s="57">
        <v>5</v>
      </c>
      <c r="E39" s="5" t="s">
        <v>16</v>
      </c>
      <c r="F39" s="57">
        <v>10</v>
      </c>
      <c r="G39" s="20">
        <v>3767.11</v>
      </c>
      <c r="I39" s="106" t="e">
        <f t="shared" ca="1" si="0"/>
        <v>#NAME?</v>
      </c>
      <c r="J39" s="4" t="e">
        <f t="shared" ca="1" si="1"/>
        <v>#NAME?</v>
      </c>
    </row>
    <row r="40" spans="1:10" x14ac:dyDescent="0.25">
      <c r="A40" s="3">
        <v>45490</v>
      </c>
      <c r="B40" s="5" t="s">
        <v>235</v>
      </c>
      <c r="C40" s="5" t="s">
        <v>236</v>
      </c>
      <c r="D40" s="57">
        <v>4</v>
      </c>
      <c r="E40" s="5" t="s">
        <v>16</v>
      </c>
      <c r="F40" s="57">
        <v>10</v>
      </c>
      <c r="G40" s="20">
        <v>3691.59</v>
      </c>
      <c r="I40" s="106" t="e">
        <f t="shared" ca="1" si="0"/>
        <v>#NAME?</v>
      </c>
      <c r="J40" s="4" t="e">
        <f t="shared" ca="1" si="1"/>
        <v>#NAME?</v>
      </c>
    </row>
    <row r="41" spans="1:10" x14ac:dyDescent="0.25">
      <c r="A41" s="3">
        <v>45490</v>
      </c>
      <c r="B41" s="5" t="s">
        <v>64</v>
      </c>
      <c r="C41" s="5" t="s">
        <v>65</v>
      </c>
      <c r="D41" s="57">
        <v>3</v>
      </c>
      <c r="E41" s="5" t="s">
        <v>16</v>
      </c>
      <c r="F41" s="57">
        <v>10</v>
      </c>
      <c r="G41" s="20">
        <v>2221.33</v>
      </c>
      <c r="I41" s="106" t="e">
        <f t="shared" ca="1" si="0"/>
        <v>#NAME?</v>
      </c>
      <c r="J41" s="4" t="e">
        <f t="shared" ca="1" si="1"/>
        <v>#NAME?</v>
      </c>
    </row>
    <row r="42" spans="1:10" x14ac:dyDescent="0.25">
      <c r="A42" s="3">
        <v>45490</v>
      </c>
      <c r="B42" s="5" t="s">
        <v>163</v>
      </c>
      <c r="C42" s="5" t="s">
        <v>219</v>
      </c>
      <c r="D42" s="57">
        <v>5</v>
      </c>
      <c r="E42" s="5" t="s">
        <v>16</v>
      </c>
      <c r="F42" s="57">
        <v>10</v>
      </c>
      <c r="G42" s="20">
        <v>4029.54</v>
      </c>
      <c r="I42" s="106" t="e">
        <f t="shared" ca="1" si="0"/>
        <v>#NAME?</v>
      </c>
      <c r="J42" s="4" t="e">
        <f t="shared" ca="1" si="1"/>
        <v>#NAME?</v>
      </c>
    </row>
    <row r="43" spans="1:10" x14ac:dyDescent="0.25">
      <c r="A43" s="3">
        <v>45490</v>
      </c>
      <c r="B43" s="5" t="s">
        <v>66</v>
      </c>
      <c r="C43" s="5" t="s">
        <v>220</v>
      </c>
      <c r="D43" s="57">
        <v>4</v>
      </c>
      <c r="E43" s="5" t="s">
        <v>16</v>
      </c>
      <c r="F43" s="57">
        <v>10</v>
      </c>
      <c r="G43" s="20">
        <v>4136.1499999999996</v>
      </c>
      <c r="I43" s="106" t="e">
        <f t="shared" ca="1" si="0"/>
        <v>#NAME?</v>
      </c>
      <c r="J43" s="4" t="e">
        <f t="shared" ca="1" si="1"/>
        <v>#NAME?</v>
      </c>
    </row>
    <row r="44" spans="1:10" x14ac:dyDescent="0.25">
      <c r="A44" s="3">
        <v>45490</v>
      </c>
      <c r="B44" s="5" t="s">
        <v>159</v>
      </c>
      <c r="C44" s="5" t="s">
        <v>127</v>
      </c>
      <c r="D44" s="57">
        <v>13</v>
      </c>
      <c r="E44" s="5" t="s">
        <v>16</v>
      </c>
      <c r="F44" s="57">
        <v>10</v>
      </c>
      <c r="G44" s="20">
        <v>3277.19</v>
      </c>
      <c r="I44" s="106" t="e">
        <f t="shared" ca="1" si="0"/>
        <v>#NAME?</v>
      </c>
      <c r="J44" s="4" t="e">
        <f t="shared" ca="1" si="1"/>
        <v>#NAME?</v>
      </c>
    </row>
    <row r="45" spans="1:10" x14ac:dyDescent="0.25">
      <c r="A45" s="3">
        <v>45490</v>
      </c>
      <c r="B45" s="5" t="s">
        <v>270</v>
      </c>
      <c r="C45" s="5" t="s">
        <v>271</v>
      </c>
      <c r="D45" s="57">
        <v>2</v>
      </c>
      <c r="E45" s="5" t="s">
        <v>16</v>
      </c>
      <c r="F45" s="57">
        <v>10</v>
      </c>
      <c r="G45" s="20">
        <v>3008.41</v>
      </c>
      <c r="I45" s="106" t="e">
        <f t="shared" ca="1" si="0"/>
        <v>#NAME?</v>
      </c>
      <c r="J45" s="4" t="e">
        <f t="shared" ca="1" si="1"/>
        <v>#NAME?</v>
      </c>
    </row>
    <row r="46" spans="1:10" x14ac:dyDescent="0.25">
      <c r="A46" s="3">
        <v>45490</v>
      </c>
      <c r="B46" s="5" t="s">
        <v>67</v>
      </c>
      <c r="C46" s="5" t="s">
        <v>68</v>
      </c>
      <c r="D46" s="57">
        <v>8</v>
      </c>
      <c r="E46" s="5" t="s">
        <v>16</v>
      </c>
      <c r="F46" s="57">
        <v>10</v>
      </c>
      <c r="G46" s="20">
        <v>3869.73</v>
      </c>
      <c r="I46" s="106" t="e">
        <f t="shared" ca="1" si="0"/>
        <v>#NAME?</v>
      </c>
      <c r="J46" s="4" t="e">
        <f t="shared" ca="1" si="1"/>
        <v>#NAME?</v>
      </c>
    </row>
    <row r="47" spans="1:10" x14ac:dyDescent="0.25">
      <c r="A47" s="3">
        <v>45490</v>
      </c>
      <c r="B47" s="5" t="s">
        <v>237</v>
      </c>
      <c r="C47" s="5" t="s">
        <v>238</v>
      </c>
      <c r="D47" s="57">
        <v>10</v>
      </c>
      <c r="E47" s="5" t="s">
        <v>16</v>
      </c>
      <c r="F47" s="57">
        <v>10</v>
      </c>
      <c r="G47" s="20">
        <v>4271.6499999999996</v>
      </c>
      <c r="I47" s="106" t="e">
        <f t="shared" ca="1" si="0"/>
        <v>#NAME?</v>
      </c>
      <c r="J47" s="4" t="e">
        <f t="shared" ca="1" si="1"/>
        <v>#NAME?</v>
      </c>
    </row>
    <row r="48" spans="1:10" x14ac:dyDescent="0.25">
      <c r="A48" s="3">
        <v>45490</v>
      </c>
      <c r="B48" s="5" t="s">
        <v>275</v>
      </c>
      <c r="C48" s="5" t="s">
        <v>285</v>
      </c>
      <c r="D48" s="57">
        <v>6</v>
      </c>
      <c r="E48" s="5" t="s">
        <v>16</v>
      </c>
      <c r="F48" s="57">
        <v>10</v>
      </c>
      <c r="G48" s="20">
        <v>3431.15</v>
      </c>
      <c r="I48" s="106" t="e">
        <f t="shared" ca="1" si="0"/>
        <v>#NAME?</v>
      </c>
      <c r="J48" s="4" t="e">
        <f t="shared" ca="1" si="1"/>
        <v>#NAME?</v>
      </c>
    </row>
    <row r="49" spans="1:10" x14ac:dyDescent="0.25">
      <c r="A49" s="3">
        <v>45490</v>
      </c>
      <c r="B49" s="5" t="s">
        <v>272</v>
      </c>
      <c r="C49" s="5" t="s">
        <v>282</v>
      </c>
      <c r="D49" s="57">
        <v>7</v>
      </c>
      <c r="E49" s="5" t="s">
        <v>16</v>
      </c>
      <c r="F49" s="57">
        <v>10</v>
      </c>
      <c r="G49" s="20">
        <v>2731.57</v>
      </c>
      <c r="I49" s="106" t="e">
        <f t="shared" ca="1" si="0"/>
        <v>#NAME?</v>
      </c>
      <c r="J49" s="4" t="e">
        <f t="shared" ca="1" si="1"/>
        <v>#NAME?</v>
      </c>
    </row>
    <row r="50" spans="1:10" x14ac:dyDescent="0.25">
      <c r="A50" s="3">
        <v>45490</v>
      </c>
      <c r="B50" s="5" t="s">
        <v>69</v>
      </c>
      <c r="C50" s="5" t="s">
        <v>221</v>
      </c>
      <c r="D50" s="57">
        <v>17</v>
      </c>
      <c r="E50" s="5" t="s">
        <v>16</v>
      </c>
      <c r="F50" s="57">
        <v>10</v>
      </c>
      <c r="G50" s="20">
        <v>8584.4500000000007</v>
      </c>
      <c r="I50" s="106" t="e">
        <f t="shared" ca="1" si="0"/>
        <v>#NAME?</v>
      </c>
      <c r="J50" s="4" t="e">
        <f t="shared" ca="1" si="1"/>
        <v>#NAME?</v>
      </c>
    </row>
    <row r="51" spans="1:10" x14ac:dyDescent="0.25">
      <c r="A51" s="3">
        <v>45490</v>
      </c>
      <c r="B51" s="5" t="s">
        <v>70</v>
      </c>
      <c r="C51" s="5" t="s">
        <v>135</v>
      </c>
      <c r="D51" s="57">
        <v>29</v>
      </c>
      <c r="E51" s="5" t="s">
        <v>16</v>
      </c>
      <c r="F51" s="57">
        <v>10</v>
      </c>
      <c r="G51" s="20">
        <v>38919.14</v>
      </c>
      <c r="I51" s="106" t="e">
        <f t="shared" ca="1" si="0"/>
        <v>#NAME?</v>
      </c>
      <c r="J51" s="4" t="e">
        <f t="shared" ca="1" si="1"/>
        <v>#NAME?</v>
      </c>
    </row>
    <row r="52" spans="1:10" x14ac:dyDescent="0.25">
      <c r="A52" s="3">
        <v>45490</v>
      </c>
      <c r="B52" s="5" t="s">
        <v>71</v>
      </c>
      <c r="C52" s="5" t="s">
        <v>136</v>
      </c>
      <c r="D52" s="57">
        <v>30</v>
      </c>
      <c r="E52" s="5" t="s">
        <v>16</v>
      </c>
      <c r="F52" s="57">
        <v>10</v>
      </c>
      <c r="G52" s="20">
        <v>39906.04</v>
      </c>
      <c r="I52" s="106" t="e">
        <f t="shared" ca="1" si="0"/>
        <v>#NAME?</v>
      </c>
      <c r="J52" s="4" t="e">
        <f t="shared" ca="1" si="1"/>
        <v>#NAME?</v>
      </c>
    </row>
    <row r="53" spans="1:10" x14ac:dyDescent="0.25">
      <c r="A53" s="3">
        <v>45490</v>
      </c>
      <c r="B53" s="5" t="s">
        <v>244</v>
      </c>
      <c r="C53" s="5" t="s">
        <v>245</v>
      </c>
      <c r="D53" s="57">
        <v>9</v>
      </c>
      <c r="E53" s="5" t="s">
        <v>16</v>
      </c>
      <c r="F53" s="57">
        <v>10</v>
      </c>
      <c r="G53" s="20">
        <v>13845.28</v>
      </c>
      <c r="I53" s="106" t="e">
        <f t="shared" ca="1" si="0"/>
        <v>#NAME?</v>
      </c>
      <c r="J53" s="4" t="e">
        <f t="shared" ca="1" si="1"/>
        <v>#NAME?</v>
      </c>
    </row>
    <row r="54" spans="1:10" x14ac:dyDescent="0.25">
      <c r="A54" s="3">
        <v>45490</v>
      </c>
      <c r="B54" s="5" t="s">
        <v>72</v>
      </c>
      <c r="C54" s="5" t="s">
        <v>73</v>
      </c>
      <c r="D54" s="57">
        <v>1</v>
      </c>
      <c r="E54" s="5" t="s">
        <v>16</v>
      </c>
      <c r="F54" s="57">
        <v>10</v>
      </c>
      <c r="G54" s="20">
        <v>3442.28</v>
      </c>
      <c r="I54" s="106" t="e">
        <f t="shared" ca="1" si="0"/>
        <v>#NAME?</v>
      </c>
      <c r="J54" s="4" t="e">
        <f t="shared" ca="1" si="1"/>
        <v>#NAME?</v>
      </c>
    </row>
    <row r="55" spans="1:10" x14ac:dyDescent="0.25">
      <c r="A55" s="3">
        <v>45490</v>
      </c>
      <c r="B55" s="5" t="s">
        <v>74</v>
      </c>
      <c r="C55" s="5" t="s">
        <v>75</v>
      </c>
      <c r="D55" s="57">
        <v>2</v>
      </c>
      <c r="E55" s="5" t="s">
        <v>16</v>
      </c>
      <c r="F55" s="57">
        <v>10</v>
      </c>
      <c r="G55" s="20">
        <v>1662.45</v>
      </c>
      <c r="I55" s="106" t="e">
        <f t="shared" ca="1" si="0"/>
        <v>#NAME?</v>
      </c>
      <c r="J55" s="4" t="e">
        <f t="shared" ca="1" si="1"/>
        <v>#NAME?</v>
      </c>
    </row>
    <row r="56" spans="1:10" x14ac:dyDescent="0.25">
      <c r="A56" s="3">
        <v>45490</v>
      </c>
      <c r="B56" s="5" t="s">
        <v>76</v>
      </c>
      <c r="C56" s="5" t="s">
        <v>77</v>
      </c>
      <c r="D56" s="57">
        <v>57</v>
      </c>
      <c r="E56" s="5" t="s">
        <v>16</v>
      </c>
      <c r="F56" s="57">
        <v>10</v>
      </c>
      <c r="G56" s="20">
        <v>14007.44</v>
      </c>
      <c r="I56" s="106" t="e">
        <f t="shared" ca="1" si="0"/>
        <v>#NAME?</v>
      </c>
      <c r="J56" s="4" t="e">
        <f t="shared" ca="1" si="1"/>
        <v>#NAME?</v>
      </c>
    </row>
    <row r="57" spans="1:10" x14ac:dyDescent="0.25">
      <c r="A57" s="3">
        <v>45490</v>
      </c>
      <c r="B57" s="5" t="s">
        <v>78</v>
      </c>
      <c r="C57" s="5" t="s">
        <v>200</v>
      </c>
      <c r="D57" s="57">
        <v>4</v>
      </c>
      <c r="E57" s="5" t="s">
        <v>16</v>
      </c>
      <c r="F57" s="57">
        <v>10</v>
      </c>
      <c r="G57" s="20">
        <v>18774.72</v>
      </c>
      <c r="I57" s="106" t="e">
        <f t="shared" ca="1" si="0"/>
        <v>#NAME?</v>
      </c>
      <c r="J57" s="4" t="e">
        <f t="shared" ca="1" si="1"/>
        <v>#NAME?</v>
      </c>
    </row>
    <row r="58" spans="1:10" x14ac:dyDescent="0.25">
      <c r="A58" s="3">
        <v>45490</v>
      </c>
      <c r="B58" s="5" t="s">
        <v>79</v>
      </c>
      <c r="C58" s="5" t="s">
        <v>201</v>
      </c>
      <c r="D58" s="57">
        <v>5</v>
      </c>
      <c r="E58" s="5" t="s">
        <v>16</v>
      </c>
      <c r="F58" s="57">
        <v>10</v>
      </c>
      <c r="G58" s="20">
        <v>15590.8</v>
      </c>
      <c r="I58" s="106" t="e">
        <f t="shared" ca="1" si="0"/>
        <v>#NAME?</v>
      </c>
      <c r="J58" s="4" t="e">
        <f t="shared" ca="1" si="1"/>
        <v>#NAME?</v>
      </c>
    </row>
    <row r="59" spans="1:10" x14ac:dyDescent="0.25">
      <c r="A59" s="3">
        <v>45490</v>
      </c>
      <c r="B59" s="5" t="s">
        <v>177</v>
      </c>
      <c r="C59" s="5" t="s">
        <v>178</v>
      </c>
      <c r="D59" s="57">
        <v>18</v>
      </c>
      <c r="E59" s="5" t="s">
        <v>16</v>
      </c>
      <c r="F59" s="57">
        <v>10</v>
      </c>
      <c r="G59" s="20">
        <v>4193.63</v>
      </c>
      <c r="I59" s="106" t="e">
        <f t="shared" ca="1" si="0"/>
        <v>#NAME?</v>
      </c>
      <c r="J59" s="4" t="e">
        <f t="shared" ca="1" si="1"/>
        <v>#NAME?</v>
      </c>
    </row>
    <row r="60" spans="1:10" x14ac:dyDescent="0.25">
      <c r="A60" s="3">
        <v>45490</v>
      </c>
      <c r="B60" s="5" t="s">
        <v>80</v>
      </c>
      <c r="C60" s="5" t="s">
        <v>81</v>
      </c>
      <c r="D60" s="57">
        <v>16</v>
      </c>
      <c r="E60" s="5" t="s">
        <v>16</v>
      </c>
      <c r="F60" s="57">
        <v>10</v>
      </c>
      <c r="G60" s="20">
        <v>3684.31</v>
      </c>
      <c r="I60" s="106" t="e">
        <f t="shared" ca="1" si="0"/>
        <v>#NAME?</v>
      </c>
      <c r="J60" s="4" t="e">
        <f t="shared" ca="1" si="1"/>
        <v>#NAME?</v>
      </c>
    </row>
    <row r="61" spans="1:10" x14ac:dyDescent="0.25">
      <c r="A61" s="3">
        <v>45490</v>
      </c>
      <c r="B61" s="5" t="s">
        <v>82</v>
      </c>
      <c r="C61" s="5" t="s">
        <v>202</v>
      </c>
      <c r="D61" s="57">
        <v>2</v>
      </c>
      <c r="E61" s="5" t="s">
        <v>16</v>
      </c>
      <c r="F61" s="57">
        <v>10</v>
      </c>
      <c r="G61" s="20">
        <v>12239.02</v>
      </c>
      <c r="I61" s="106" t="e">
        <f t="shared" ca="1" si="0"/>
        <v>#NAME?</v>
      </c>
      <c r="J61" s="4" t="e">
        <f t="shared" ca="1" si="1"/>
        <v>#NAME?</v>
      </c>
    </row>
    <row r="62" spans="1:10" x14ac:dyDescent="0.25">
      <c r="A62" s="3">
        <v>45490</v>
      </c>
      <c r="B62" s="5" t="s">
        <v>294</v>
      </c>
      <c r="C62" s="5" t="s">
        <v>295</v>
      </c>
      <c r="D62" s="57">
        <v>6</v>
      </c>
      <c r="E62" s="5" t="s">
        <v>16</v>
      </c>
      <c r="F62" s="57">
        <v>10</v>
      </c>
      <c r="G62" s="20">
        <v>18748.759999999998</v>
      </c>
      <c r="I62" s="106" t="e">
        <f t="shared" ca="1" si="0"/>
        <v>#NAME?</v>
      </c>
      <c r="J62" s="4" t="e">
        <f t="shared" ca="1" si="1"/>
        <v>#NAME?</v>
      </c>
    </row>
    <row r="63" spans="1:10" x14ac:dyDescent="0.25">
      <c r="A63" s="3">
        <v>45490</v>
      </c>
      <c r="B63" s="5" t="s">
        <v>83</v>
      </c>
      <c r="C63" s="5" t="s">
        <v>84</v>
      </c>
      <c r="D63" s="57">
        <v>2</v>
      </c>
      <c r="E63" s="5" t="s">
        <v>16</v>
      </c>
      <c r="F63" s="57">
        <v>10</v>
      </c>
      <c r="G63" s="20">
        <v>15248.29</v>
      </c>
      <c r="I63" s="106" t="e">
        <f t="shared" ca="1" si="0"/>
        <v>#NAME?</v>
      </c>
      <c r="J63" s="4" t="e">
        <f t="shared" ca="1" si="1"/>
        <v>#NAME?</v>
      </c>
    </row>
    <row r="64" spans="1:10" x14ac:dyDescent="0.25">
      <c r="A64" s="3">
        <v>45490</v>
      </c>
      <c r="B64" s="5" t="s">
        <v>152</v>
      </c>
      <c r="C64" s="5" t="s">
        <v>222</v>
      </c>
      <c r="D64" s="57">
        <v>2</v>
      </c>
      <c r="E64" s="5" t="s">
        <v>16</v>
      </c>
      <c r="F64" s="57">
        <v>10</v>
      </c>
      <c r="G64" s="20">
        <v>4046.58</v>
      </c>
      <c r="I64" s="106" t="e">
        <f t="shared" ca="1" si="0"/>
        <v>#NAME?</v>
      </c>
      <c r="J64" s="4" t="e">
        <f t="shared" ca="1" si="1"/>
        <v>#NAME?</v>
      </c>
    </row>
    <row r="65" spans="1:10" x14ac:dyDescent="0.25">
      <c r="A65" s="3">
        <v>45490</v>
      </c>
      <c r="B65" s="5" t="s">
        <v>85</v>
      </c>
      <c r="C65" s="5" t="s">
        <v>86</v>
      </c>
      <c r="D65" s="57">
        <v>4</v>
      </c>
      <c r="E65" s="5" t="s">
        <v>16</v>
      </c>
      <c r="F65" s="57">
        <v>10</v>
      </c>
      <c r="G65" s="20">
        <v>7036.31</v>
      </c>
      <c r="I65" s="106" t="e">
        <f t="shared" ca="1" si="0"/>
        <v>#NAME?</v>
      </c>
      <c r="J65" s="4" t="e">
        <f t="shared" ca="1" si="1"/>
        <v>#NAME?</v>
      </c>
    </row>
    <row r="66" spans="1:10" x14ac:dyDescent="0.25">
      <c r="A66" s="3">
        <v>45490</v>
      </c>
      <c r="B66" s="5" t="s">
        <v>87</v>
      </c>
      <c r="C66" s="5" t="s">
        <v>203</v>
      </c>
      <c r="D66" s="57">
        <v>7</v>
      </c>
      <c r="E66" s="5" t="s">
        <v>16</v>
      </c>
      <c r="F66" s="57">
        <v>10</v>
      </c>
      <c r="G66" s="20">
        <v>4597.05</v>
      </c>
      <c r="I66" s="106" t="e">
        <f t="shared" ca="1" si="0"/>
        <v>#NAME?</v>
      </c>
      <c r="J66" s="4" t="e">
        <f t="shared" ca="1" si="1"/>
        <v>#NAME?</v>
      </c>
    </row>
    <row r="67" spans="1:10" x14ac:dyDescent="0.25">
      <c r="A67" s="3">
        <v>45490</v>
      </c>
      <c r="B67" s="5" t="s">
        <v>296</v>
      </c>
      <c r="C67" s="5" t="s">
        <v>297</v>
      </c>
      <c r="D67" s="57">
        <v>1</v>
      </c>
      <c r="E67" s="5" t="s">
        <v>16</v>
      </c>
      <c r="F67" s="57">
        <v>10</v>
      </c>
      <c r="G67" s="20">
        <v>1800.94</v>
      </c>
      <c r="I67" s="106" t="e">
        <f t="shared" ca="1" si="0"/>
        <v>#NAME?</v>
      </c>
      <c r="J67" s="4" t="e">
        <f t="shared" ca="1" si="1"/>
        <v>#NAME?</v>
      </c>
    </row>
    <row r="68" spans="1:10" x14ac:dyDescent="0.25">
      <c r="A68" s="3">
        <v>45490</v>
      </c>
      <c r="B68" s="5" t="s">
        <v>88</v>
      </c>
      <c r="C68" s="5" t="s">
        <v>89</v>
      </c>
      <c r="D68" s="57">
        <v>18</v>
      </c>
      <c r="E68" s="5" t="s">
        <v>16</v>
      </c>
      <c r="F68" s="57">
        <v>10</v>
      </c>
      <c r="G68" s="20">
        <v>8260.18</v>
      </c>
      <c r="I68" s="106" t="e">
        <f t="shared" ca="1" si="0"/>
        <v>#NAME?</v>
      </c>
      <c r="J68" s="4" t="e">
        <f t="shared" ca="1" si="1"/>
        <v>#NAME?</v>
      </c>
    </row>
    <row r="69" spans="1:10" x14ac:dyDescent="0.25">
      <c r="A69" s="3">
        <v>45490</v>
      </c>
      <c r="B69" s="5" t="s">
        <v>90</v>
      </c>
      <c r="C69" s="5" t="s">
        <v>91</v>
      </c>
      <c r="D69" s="57">
        <v>1</v>
      </c>
      <c r="E69" s="5" t="s">
        <v>16</v>
      </c>
      <c r="F69" s="57">
        <v>10</v>
      </c>
      <c r="G69" s="20">
        <v>12436.92</v>
      </c>
      <c r="I69" s="106" t="e">
        <f t="shared" ca="1" si="0"/>
        <v>#NAME?</v>
      </c>
      <c r="J69" s="4" t="e">
        <f t="shared" ca="1" si="1"/>
        <v>#NAME?</v>
      </c>
    </row>
    <row r="70" spans="1:10" x14ac:dyDescent="0.25">
      <c r="A70" s="3">
        <v>45490</v>
      </c>
      <c r="B70" s="5" t="s">
        <v>252</v>
      </c>
      <c r="C70" s="5" t="s">
        <v>230</v>
      </c>
      <c r="D70" s="57">
        <v>18</v>
      </c>
      <c r="E70" s="5" t="s">
        <v>16</v>
      </c>
      <c r="F70" s="57">
        <v>10</v>
      </c>
      <c r="G70" s="20">
        <v>63688.78</v>
      </c>
      <c r="I70" s="106" t="e">
        <f t="shared" ca="1" si="0"/>
        <v>#NAME?</v>
      </c>
      <c r="J70" s="4" t="e">
        <f t="shared" ca="1" si="1"/>
        <v>#NAME?</v>
      </c>
    </row>
    <row r="71" spans="1:10" x14ac:dyDescent="0.25">
      <c r="A71" s="3">
        <v>45490</v>
      </c>
      <c r="B71" s="5" t="s">
        <v>92</v>
      </c>
      <c r="C71" s="5" t="s">
        <v>223</v>
      </c>
      <c r="D71" s="57">
        <v>14</v>
      </c>
      <c r="E71" s="5" t="s">
        <v>16</v>
      </c>
      <c r="F71" s="57">
        <v>10</v>
      </c>
      <c r="G71" s="20">
        <v>4977.93</v>
      </c>
      <c r="I71" s="106" t="s">
        <v>378</v>
      </c>
      <c r="J71" s="4" t="s">
        <v>379</v>
      </c>
    </row>
    <row r="72" spans="1:10" x14ac:dyDescent="0.25">
      <c r="A72" s="3">
        <v>45490</v>
      </c>
      <c r="B72" s="5" t="s">
        <v>170</v>
      </c>
      <c r="C72" s="5" t="s">
        <v>171</v>
      </c>
      <c r="D72" s="57">
        <v>5</v>
      </c>
      <c r="E72" s="5" t="s">
        <v>16</v>
      </c>
      <c r="F72" s="57">
        <v>10</v>
      </c>
      <c r="G72" s="20">
        <v>4331.55</v>
      </c>
      <c r="I72" s="106" t="s">
        <v>382</v>
      </c>
      <c r="J72" s="4" t="s">
        <v>383</v>
      </c>
    </row>
    <row r="73" spans="1:10" x14ac:dyDescent="0.25">
      <c r="A73" s="3">
        <v>45490</v>
      </c>
      <c r="B73" s="5" t="s">
        <v>185</v>
      </c>
      <c r="C73" s="5" t="s">
        <v>186</v>
      </c>
      <c r="D73" s="57">
        <v>12</v>
      </c>
      <c r="E73" s="5" t="s">
        <v>16</v>
      </c>
      <c r="F73" s="57">
        <v>10</v>
      </c>
      <c r="G73" s="20">
        <v>6298.36</v>
      </c>
      <c r="I73" s="106" t="s">
        <v>386</v>
      </c>
      <c r="J73" s="4" t="s">
        <v>387</v>
      </c>
    </row>
    <row r="74" spans="1:10" x14ac:dyDescent="0.25">
      <c r="A74" s="3">
        <v>45490</v>
      </c>
      <c r="B74" s="5" t="s">
        <v>93</v>
      </c>
      <c r="C74" s="5" t="s">
        <v>204</v>
      </c>
      <c r="D74" s="57">
        <v>38</v>
      </c>
      <c r="E74" s="5" t="s">
        <v>16</v>
      </c>
      <c r="F74" s="57">
        <v>10</v>
      </c>
      <c r="G74" s="20">
        <v>123018.35</v>
      </c>
      <c r="I74" s="106" t="s">
        <v>388</v>
      </c>
      <c r="J74" s="4" t="s">
        <v>390</v>
      </c>
    </row>
    <row r="75" spans="1:10" x14ac:dyDescent="0.25">
      <c r="A75" s="3">
        <v>45490</v>
      </c>
      <c r="B75" s="5" t="s">
        <v>94</v>
      </c>
      <c r="C75" s="5" t="s">
        <v>224</v>
      </c>
      <c r="D75" s="57">
        <v>15</v>
      </c>
      <c r="E75" s="5" t="s">
        <v>16</v>
      </c>
      <c r="F75" s="57">
        <v>10</v>
      </c>
      <c r="G75" s="20">
        <v>13999.1</v>
      </c>
      <c r="I75" s="106" t="s">
        <v>391</v>
      </c>
      <c r="J75" s="4" t="s">
        <v>392</v>
      </c>
    </row>
    <row r="76" spans="1:10" x14ac:dyDescent="0.25">
      <c r="A76" s="3">
        <v>45490</v>
      </c>
      <c r="B76" s="5" t="s">
        <v>95</v>
      </c>
      <c r="C76" s="5" t="s">
        <v>205</v>
      </c>
      <c r="D76" s="57">
        <v>6</v>
      </c>
      <c r="E76" s="5" t="s">
        <v>16</v>
      </c>
      <c r="F76" s="57">
        <v>10</v>
      </c>
      <c r="G76" s="20">
        <v>28088.05</v>
      </c>
      <c r="I76" s="106" t="s">
        <v>394</v>
      </c>
      <c r="J76" s="4" t="s">
        <v>395</v>
      </c>
    </row>
    <row r="77" spans="1:10" x14ac:dyDescent="0.25">
      <c r="A77" s="3">
        <v>45490</v>
      </c>
      <c r="B77" s="5" t="s">
        <v>96</v>
      </c>
      <c r="C77" s="5" t="s">
        <v>97</v>
      </c>
      <c r="D77" s="57">
        <v>127</v>
      </c>
      <c r="E77" s="5" t="s">
        <v>16</v>
      </c>
      <c r="F77" s="57">
        <v>10</v>
      </c>
      <c r="G77" s="20">
        <v>116324.91</v>
      </c>
      <c r="I77" s="106" t="s">
        <v>405</v>
      </c>
      <c r="J77" s="4" t="s">
        <v>406</v>
      </c>
    </row>
    <row r="78" spans="1:10" x14ac:dyDescent="0.25">
      <c r="A78" s="3">
        <v>45490</v>
      </c>
      <c r="B78" s="5" t="s">
        <v>149</v>
      </c>
      <c r="C78" s="5" t="s">
        <v>225</v>
      </c>
      <c r="D78" s="57">
        <v>3</v>
      </c>
      <c r="E78" s="5" t="s">
        <v>16</v>
      </c>
      <c r="F78" s="57">
        <v>10</v>
      </c>
      <c r="G78" s="20">
        <v>6049.55</v>
      </c>
      <c r="I78" s="106" t="s">
        <v>408</v>
      </c>
      <c r="J78" s="4" t="s">
        <v>409</v>
      </c>
    </row>
    <row r="79" spans="1:10" x14ac:dyDescent="0.25">
      <c r="A79" s="3">
        <v>45490</v>
      </c>
      <c r="B79" s="5" t="s">
        <v>246</v>
      </c>
      <c r="C79" s="5" t="s">
        <v>247</v>
      </c>
      <c r="D79" s="57">
        <v>3</v>
      </c>
      <c r="E79" s="5" t="s">
        <v>16</v>
      </c>
      <c r="F79" s="57">
        <v>10</v>
      </c>
      <c r="G79" s="20">
        <v>4177.16</v>
      </c>
      <c r="I79" s="106" t="s">
        <v>413</v>
      </c>
      <c r="J79" s="4" t="s">
        <v>414</v>
      </c>
    </row>
    <row r="80" spans="1:10" x14ac:dyDescent="0.25">
      <c r="A80" s="3">
        <v>45490</v>
      </c>
      <c r="B80" s="5" t="s">
        <v>278</v>
      </c>
      <c r="C80" s="5" t="s">
        <v>279</v>
      </c>
      <c r="D80" s="57">
        <v>6</v>
      </c>
      <c r="E80" s="5" t="s">
        <v>16</v>
      </c>
      <c r="F80" s="57">
        <v>10</v>
      </c>
      <c r="G80" s="20">
        <v>3267.7</v>
      </c>
      <c r="I80" s="106" t="e">
        <f t="shared" ref="I79:I106" ca="1" si="2">[2]!s_dq_close(B80,$F$2,1)</f>
        <v>#NAME?</v>
      </c>
      <c r="J80" s="4" t="e">
        <f t="shared" ref="J79:J106" ca="1" si="3">[2]!s_dq_high(B80,$F$2,1)</f>
        <v>#NAME?</v>
      </c>
    </row>
    <row r="81" spans="1:10" x14ac:dyDescent="0.25">
      <c r="A81" s="3">
        <v>45490</v>
      </c>
      <c r="B81" s="5" t="s">
        <v>98</v>
      </c>
      <c r="C81" s="5" t="s">
        <v>99</v>
      </c>
      <c r="D81" s="57">
        <v>1</v>
      </c>
      <c r="E81" s="5" t="s">
        <v>16</v>
      </c>
      <c r="F81" s="57">
        <v>10</v>
      </c>
      <c r="G81" s="20">
        <v>7433.74</v>
      </c>
      <c r="I81" s="106" t="e">
        <f t="shared" ca="1" si="2"/>
        <v>#NAME?</v>
      </c>
      <c r="J81" s="4" t="e">
        <f t="shared" ca="1" si="3"/>
        <v>#NAME?</v>
      </c>
    </row>
    <row r="82" spans="1:10" x14ac:dyDescent="0.25">
      <c r="A82" s="3">
        <v>45490</v>
      </c>
      <c r="B82" s="5" t="s">
        <v>239</v>
      </c>
      <c r="C82" s="5" t="s">
        <v>240</v>
      </c>
      <c r="D82" s="57">
        <v>4</v>
      </c>
      <c r="E82" s="5" t="s">
        <v>16</v>
      </c>
      <c r="F82" s="57">
        <v>10</v>
      </c>
      <c r="G82" s="20">
        <v>9724.5300000000007</v>
      </c>
      <c r="I82" s="106" t="e">
        <f t="shared" ca="1" si="2"/>
        <v>#NAME?</v>
      </c>
      <c r="J82" s="4" t="e">
        <f t="shared" ca="1" si="3"/>
        <v>#NAME?</v>
      </c>
    </row>
    <row r="83" spans="1:10" x14ac:dyDescent="0.25">
      <c r="A83" s="3">
        <v>45490</v>
      </c>
      <c r="B83" s="5" t="s">
        <v>100</v>
      </c>
      <c r="C83" s="5" t="s">
        <v>206</v>
      </c>
      <c r="D83" s="57">
        <v>5</v>
      </c>
      <c r="E83" s="5" t="s">
        <v>16</v>
      </c>
      <c r="F83" s="57">
        <v>10</v>
      </c>
      <c r="G83" s="20">
        <v>4336.8999999999996</v>
      </c>
      <c r="I83" s="106" t="e">
        <f t="shared" ca="1" si="2"/>
        <v>#NAME?</v>
      </c>
      <c r="J83" s="4" t="e">
        <f t="shared" ca="1" si="3"/>
        <v>#NAME?</v>
      </c>
    </row>
    <row r="84" spans="1:10" x14ac:dyDescent="0.25">
      <c r="A84" s="3">
        <v>45490</v>
      </c>
      <c r="B84" s="5" t="s">
        <v>101</v>
      </c>
      <c r="C84" s="5" t="s">
        <v>207</v>
      </c>
      <c r="D84" s="57">
        <v>7</v>
      </c>
      <c r="E84" s="5" t="s">
        <v>16</v>
      </c>
      <c r="F84" s="57">
        <v>10</v>
      </c>
      <c r="G84" s="20">
        <v>5219.04</v>
      </c>
      <c r="I84" s="106" t="e">
        <f t="shared" ca="1" si="2"/>
        <v>#NAME?</v>
      </c>
      <c r="J84" s="4" t="e">
        <f t="shared" ca="1" si="3"/>
        <v>#NAME?</v>
      </c>
    </row>
    <row r="85" spans="1:10" x14ac:dyDescent="0.25">
      <c r="A85" s="3">
        <v>45490</v>
      </c>
      <c r="B85" s="5" t="s">
        <v>150</v>
      </c>
      <c r="C85" s="5" t="s">
        <v>151</v>
      </c>
      <c r="D85" s="57">
        <v>9</v>
      </c>
      <c r="E85" s="5" t="s">
        <v>16</v>
      </c>
      <c r="F85" s="57">
        <v>10</v>
      </c>
      <c r="G85" s="20">
        <v>8856.43</v>
      </c>
      <c r="I85" s="106" t="e">
        <f t="shared" ca="1" si="2"/>
        <v>#NAME?</v>
      </c>
      <c r="J85" s="4" t="e">
        <f t="shared" ca="1" si="3"/>
        <v>#NAME?</v>
      </c>
    </row>
    <row r="86" spans="1:10" x14ac:dyDescent="0.25">
      <c r="A86" s="3">
        <v>45490</v>
      </c>
      <c r="B86" s="5" t="s">
        <v>128</v>
      </c>
      <c r="C86" s="5" t="s">
        <v>208</v>
      </c>
      <c r="D86" s="57">
        <v>18</v>
      </c>
      <c r="E86" s="5" t="s">
        <v>16</v>
      </c>
      <c r="F86" s="57">
        <v>10</v>
      </c>
      <c r="G86" s="20">
        <v>21033.63</v>
      </c>
      <c r="I86" s="106" t="e">
        <f t="shared" ca="1" si="2"/>
        <v>#NAME?</v>
      </c>
      <c r="J86" s="4" t="e">
        <f t="shared" ca="1" si="3"/>
        <v>#NAME?</v>
      </c>
    </row>
    <row r="87" spans="1:10" x14ac:dyDescent="0.25">
      <c r="A87" s="3">
        <v>45490</v>
      </c>
      <c r="B87" s="5" t="s">
        <v>102</v>
      </c>
      <c r="C87" s="5" t="s">
        <v>264</v>
      </c>
      <c r="D87" s="57">
        <v>14</v>
      </c>
      <c r="E87" s="5" t="s">
        <v>16</v>
      </c>
      <c r="F87" s="57">
        <v>10</v>
      </c>
      <c r="G87" s="20">
        <v>6037.22</v>
      </c>
      <c r="I87" s="106" t="e">
        <f t="shared" ca="1" si="2"/>
        <v>#NAME?</v>
      </c>
      <c r="J87" s="4" t="e">
        <f t="shared" ca="1" si="3"/>
        <v>#NAME?</v>
      </c>
    </row>
    <row r="88" spans="1:10" x14ac:dyDescent="0.25">
      <c r="A88" s="3">
        <v>45490</v>
      </c>
      <c r="B88" s="5" t="s">
        <v>103</v>
      </c>
      <c r="C88" s="5" t="s">
        <v>209</v>
      </c>
      <c r="D88" s="57">
        <v>15</v>
      </c>
      <c r="E88" s="5" t="s">
        <v>16</v>
      </c>
      <c r="F88" s="57">
        <v>10</v>
      </c>
      <c r="G88" s="20">
        <v>22268.91</v>
      </c>
      <c r="I88" s="106" t="e">
        <f t="shared" ca="1" si="2"/>
        <v>#NAME?</v>
      </c>
      <c r="J88" s="4" t="e">
        <f t="shared" ca="1" si="3"/>
        <v>#NAME?</v>
      </c>
    </row>
    <row r="89" spans="1:10" x14ac:dyDescent="0.25">
      <c r="A89" s="3">
        <v>45490</v>
      </c>
      <c r="B89" s="5" t="s">
        <v>104</v>
      </c>
      <c r="C89" s="5" t="s">
        <v>105</v>
      </c>
      <c r="D89" s="57">
        <v>1</v>
      </c>
      <c r="E89" s="5" t="s">
        <v>16</v>
      </c>
      <c r="F89" s="57">
        <v>10</v>
      </c>
      <c r="G89" s="20">
        <v>7716.85</v>
      </c>
      <c r="I89" s="106" t="e">
        <f t="shared" ca="1" si="2"/>
        <v>#NAME?</v>
      </c>
      <c r="J89" s="4" t="e">
        <f t="shared" ca="1" si="3"/>
        <v>#NAME?</v>
      </c>
    </row>
    <row r="90" spans="1:10" x14ac:dyDescent="0.25">
      <c r="A90" s="3">
        <v>45490</v>
      </c>
      <c r="B90" s="5" t="s">
        <v>298</v>
      </c>
      <c r="C90" s="5" t="s">
        <v>299</v>
      </c>
      <c r="D90" s="57">
        <v>1</v>
      </c>
      <c r="E90" s="5" t="s">
        <v>16</v>
      </c>
      <c r="F90" s="57">
        <v>10</v>
      </c>
      <c r="G90" s="20">
        <v>3987.47</v>
      </c>
      <c r="I90" s="106" t="e">
        <f t="shared" ca="1" si="2"/>
        <v>#NAME?</v>
      </c>
      <c r="J90" s="4" t="e">
        <f t="shared" ca="1" si="3"/>
        <v>#NAME?</v>
      </c>
    </row>
    <row r="91" spans="1:10" x14ac:dyDescent="0.25">
      <c r="A91" s="3">
        <v>45490</v>
      </c>
      <c r="B91" s="5" t="s">
        <v>106</v>
      </c>
      <c r="C91" s="5" t="s">
        <v>210</v>
      </c>
      <c r="D91" s="57">
        <v>4</v>
      </c>
      <c r="E91" s="5" t="s">
        <v>16</v>
      </c>
      <c r="F91" s="57">
        <v>10</v>
      </c>
      <c r="G91" s="20">
        <v>4224.01</v>
      </c>
      <c r="I91" s="106" t="e">
        <f t="shared" ca="1" si="2"/>
        <v>#NAME?</v>
      </c>
      <c r="J91" s="4" t="e">
        <f t="shared" ca="1" si="3"/>
        <v>#NAME?</v>
      </c>
    </row>
    <row r="92" spans="1:10" x14ac:dyDescent="0.25">
      <c r="A92" s="3">
        <v>45490</v>
      </c>
      <c r="B92" s="5" t="s">
        <v>107</v>
      </c>
      <c r="C92" s="5" t="s">
        <v>108</v>
      </c>
      <c r="D92" s="57">
        <v>15</v>
      </c>
      <c r="E92" s="5" t="s">
        <v>16</v>
      </c>
      <c r="F92" s="57">
        <v>10</v>
      </c>
      <c r="G92" s="20">
        <v>7782.03</v>
      </c>
      <c r="I92" s="106" t="e">
        <f t="shared" ca="1" si="2"/>
        <v>#NAME?</v>
      </c>
      <c r="J92" s="4" t="e">
        <f t="shared" ca="1" si="3"/>
        <v>#NAME?</v>
      </c>
    </row>
    <row r="93" spans="1:10" x14ac:dyDescent="0.25">
      <c r="A93" s="3">
        <v>45490</v>
      </c>
      <c r="B93" s="5" t="s">
        <v>109</v>
      </c>
      <c r="C93" s="5" t="s">
        <v>226</v>
      </c>
      <c r="D93" s="57">
        <v>2</v>
      </c>
      <c r="E93" s="5" t="s">
        <v>16</v>
      </c>
      <c r="F93" s="57">
        <v>10</v>
      </c>
      <c r="G93" s="20">
        <v>8785.9</v>
      </c>
      <c r="I93" s="106" t="e">
        <f t="shared" ca="1" si="2"/>
        <v>#NAME?</v>
      </c>
      <c r="J93" s="4" t="e">
        <f t="shared" ca="1" si="3"/>
        <v>#NAME?</v>
      </c>
    </row>
    <row r="94" spans="1:10" x14ac:dyDescent="0.25">
      <c r="A94" s="3">
        <v>45490</v>
      </c>
      <c r="B94" s="5" t="s">
        <v>187</v>
      </c>
      <c r="C94" s="5" t="s">
        <v>188</v>
      </c>
      <c r="D94" s="57">
        <v>2</v>
      </c>
      <c r="E94" s="5" t="s">
        <v>16</v>
      </c>
      <c r="F94" s="57">
        <v>10</v>
      </c>
      <c r="G94" s="20">
        <v>2566.5500000000002</v>
      </c>
      <c r="I94" s="106" t="e">
        <f t="shared" ca="1" si="2"/>
        <v>#NAME?</v>
      </c>
      <c r="J94" s="4" t="e">
        <f t="shared" ca="1" si="3"/>
        <v>#NAME?</v>
      </c>
    </row>
    <row r="95" spans="1:10" x14ac:dyDescent="0.25">
      <c r="A95" s="3">
        <v>45490</v>
      </c>
      <c r="B95" s="5" t="s">
        <v>110</v>
      </c>
      <c r="C95" s="5" t="s">
        <v>111</v>
      </c>
      <c r="D95" s="57">
        <v>16</v>
      </c>
      <c r="E95" s="5" t="s">
        <v>16</v>
      </c>
      <c r="F95" s="57">
        <v>10</v>
      </c>
      <c r="G95" s="20">
        <v>20737.82</v>
      </c>
      <c r="I95" s="106" t="e">
        <f t="shared" ca="1" si="2"/>
        <v>#NAME?</v>
      </c>
      <c r="J95" s="4" t="e">
        <f t="shared" ca="1" si="3"/>
        <v>#NAME?</v>
      </c>
    </row>
    <row r="96" spans="1:10" x14ac:dyDescent="0.25">
      <c r="A96" s="3">
        <v>45490</v>
      </c>
      <c r="B96" s="5" t="s">
        <v>112</v>
      </c>
      <c r="C96" s="5" t="s">
        <v>227</v>
      </c>
      <c r="D96" s="57">
        <v>25</v>
      </c>
      <c r="E96" s="5" t="s">
        <v>16</v>
      </c>
      <c r="F96" s="57">
        <v>10</v>
      </c>
      <c r="G96" s="20">
        <v>45041.29</v>
      </c>
      <c r="I96" s="106" t="e">
        <f t="shared" ca="1" si="2"/>
        <v>#NAME?</v>
      </c>
      <c r="J96" s="4" t="e">
        <f t="shared" ca="1" si="3"/>
        <v>#NAME?</v>
      </c>
    </row>
    <row r="97" spans="1:10" x14ac:dyDescent="0.25">
      <c r="A97" s="3">
        <v>45490</v>
      </c>
      <c r="B97" s="5" t="s">
        <v>280</v>
      </c>
      <c r="C97" s="5" t="s">
        <v>281</v>
      </c>
      <c r="D97" s="57">
        <v>6</v>
      </c>
      <c r="E97" s="5" t="s">
        <v>16</v>
      </c>
      <c r="F97" s="57">
        <v>10</v>
      </c>
      <c r="G97" s="20">
        <v>4282.63</v>
      </c>
      <c r="I97" s="106" t="e">
        <f t="shared" ca="1" si="2"/>
        <v>#NAME?</v>
      </c>
      <c r="J97" s="4" t="e">
        <f t="shared" ca="1" si="3"/>
        <v>#NAME?</v>
      </c>
    </row>
    <row r="98" spans="1:10" x14ac:dyDescent="0.25">
      <c r="A98" s="3">
        <v>45490</v>
      </c>
      <c r="B98" s="5" t="s">
        <v>300</v>
      </c>
      <c r="C98" s="5" t="s">
        <v>301</v>
      </c>
      <c r="D98" s="57">
        <v>2</v>
      </c>
      <c r="E98" s="5" t="s">
        <v>16</v>
      </c>
      <c r="F98" s="57">
        <v>10</v>
      </c>
      <c r="G98" s="20">
        <v>2186.6</v>
      </c>
      <c r="I98" s="106" t="e">
        <f t="shared" ca="1" si="2"/>
        <v>#NAME?</v>
      </c>
      <c r="J98" s="4" t="e">
        <f t="shared" ca="1" si="3"/>
        <v>#NAME?</v>
      </c>
    </row>
    <row r="99" spans="1:10" x14ac:dyDescent="0.25">
      <c r="A99" s="3">
        <v>45490</v>
      </c>
      <c r="B99" s="5" t="s">
        <v>113</v>
      </c>
      <c r="C99" s="5" t="s">
        <v>228</v>
      </c>
      <c r="D99" s="57">
        <v>12</v>
      </c>
      <c r="E99" s="5" t="s">
        <v>16</v>
      </c>
      <c r="F99" s="57">
        <v>10</v>
      </c>
      <c r="G99" s="20">
        <v>17265.73</v>
      </c>
      <c r="I99" s="106" t="e">
        <f t="shared" ca="1" si="2"/>
        <v>#NAME?</v>
      </c>
      <c r="J99" s="4" t="e">
        <f t="shared" ca="1" si="3"/>
        <v>#NAME?</v>
      </c>
    </row>
    <row r="100" spans="1:10" x14ac:dyDescent="0.25">
      <c r="A100" s="3">
        <v>45490</v>
      </c>
      <c r="B100" s="5" t="s">
        <v>114</v>
      </c>
      <c r="C100" s="5" t="s">
        <v>115</v>
      </c>
      <c r="D100" s="57">
        <v>2</v>
      </c>
      <c r="E100" s="5" t="s">
        <v>16</v>
      </c>
      <c r="F100" s="57">
        <v>10</v>
      </c>
      <c r="G100" s="20">
        <v>3957.87</v>
      </c>
      <c r="I100" s="106" t="e">
        <f t="shared" ca="1" si="2"/>
        <v>#NAME?</v>
      </c>
      <c r="J100" s="4" t="e">
        <f t="shared" ca="1" si="3"/>
        <v>#NAME?</v>
      </c>
    </row>
    <row r="101" spans="1:10" x14ac:dyDescent="0.25">
      <c r="A101" s="3">
        <v>45490</v>
      </c>
      <c r="B101" s="5" t="s">
        <v>116</v>
      </c>
      <c r="C101" s="5" t="s">
        <v>117</v>
      </c>
      <c r="D101" s="57">
        <v>3</v>
      </c>
      <c r="E101" s="5" t="s">
        <v>16</v>
      </c>
      <c r="F101" s="57">
        <v>10</v>
      </c>
      <c r="G101" s="20">
        <v>10501.2</v>
      </c>
      <c r="I101" s="106" t="e">
        <f t="shared" ca="1" si="2"/>
        <v>#NAME?</v>
      </c>
      <c r="J101" s="4" t="e">
        <f t="shared" ca="1" si="3"/>
        <v>#NAME?</v>
      </c>
    </row>
    <row r="102" spans="1:10" x14ac:dyDescent="0.25">
      <c r="A102" s="3">
        <v>45490</v>
      </c>
      <c r="B102" s="5" t="s">
        <v>118</v>
      </c>
      <c r="C102" s="5" t="s">
        <v>119</v>
      </c>
      <c r="D102" s="57">
        <v>11</v>
      </c>
      <c r="E102" s="5" t="s">
        <v>16</v>
      </c>
      <c r="F102" s="57">
        <v>10</v>
      </c>
      <c r="G102" s="20">
        <v>917.8</v>
      </c>
      <c r="I102" s="106" t="e">
        <f t="shared" ca="1" si="2"/>
        <v>#NAME?</v>
      </c>
      <c r="J102" s="4" t="e">
        <f t="shared" ca="1" si="3"/>
        <v>#NAME?</v>
      </c>
    </row>
    <row r="103" spans="1:10" x14ac:dyDescent="0.25">
      <c r="A103" s="3">
        <v>45490</v>
      </c>
      <c r="B103" s="5" t="s">
        <v>273</v>
      </c>
      <c r="C103" s="5" t="s">
        <v>274</v>
      </c>
      <c r="D103" s="57">
        <v>33</v>
      </c>
      <c r="E103" s="5" t="s">
        <v>16</v>
      </c>
      <c r="F103" s="57">
        <v>10</v>
      </c>
      <c r="G103" s="20">
        <v>1746.17</v>
      </c>
      <c r="I103" s="106" t="e">
        <f t="shared" ca="1" si="2"/>
        <v>#NAME?</v>
      </c>
      <c r="J103" s="4" t="e">
        <f t="shared" ca="1" si="3"/>
        <v>#NAME?</v>
      </c>
    </row>
    <row r="104" spans="1:10" x14ac:dyDescent="0.25">
      <c r="A104" s="3">
        <v>45490</v>
      </c>
      <c r="B104" s="5" t="s">
        <v>120</v>
      </c>
      <c r="C104" s="5" t="s">
        <v>121</v>
      </c>
      <c r="D104" s="57">
        <v>3</v>
      </c>
      <c r="E104" s="5" t="s">
        <v>16</v>
      </c>
      <c r="F104" s="57">
        <v>10</v>
      </c>
      <c r="G104" s="20">
        <v>4973.4399999999996</v>
      </c>
      <c r="I104" s="106" t="e">
        <f t="shared" ca="1" si="2"/>
        <v>#NAME?</v>
      </c>
      <c r="J104" s="4" t="e">
        <f t="shared" ca="1" si="3"/>
        <v>#NAME?</v>
      </c>
    </row>
    <row r="105" spans="1:10" x14ac:dyDescent="0.25">
      <c r="A105" s="3">
        <v>45490</v>
      </c>
      <c r="B105" s="5" t="s">
        <v>129</v>
      </c>
      <c r="C105" s="5" t="s">
        <v>130</v>
      </c>
      <c r="D105" s="57">
        <v>7</v>
      </c>
      <c r="E105" s="5" t="s">
        <v>16</v>
      </c>
      <c r="F105" s="57">
        <v>10</v>
      </c>
      <c r="G105" s="20">
        <v>2657.19</v>
      </c>
      <c r="I105" s="106" t="e">
        <f t="shared" ca="1" si="2"/>
        <v>#NAME?</v>
      </c>
      <c r="J105" s="4" t="e">
        <f t="shared" ca="1" si="3"/>
        <v>#NAME?</v>
      </c>
    </row>
    <row r="106" spans="1:10" x14ac:dyDescent="0.25">
      <c r="A106" s="3">
        <v>45490</v>
      </c>
      <c r="B106" s="5" t="s">
        <v>241</v>
      </c>
      <c r="C106" s="5" t="s">
        <v>242</v>
      </c>
      <c r="D106" s="57">
        <v>2</v>
      </c>
      <c r="E106" s="5" t="s">
        <v>16</v>
      </c>
      <c r="F106" s="57">
        <v>10</v>
      </c>
      <c r="G106" s="20">
        <v>2916.27</v>
      </c>
      <c r="I106" s="106" t="e">
        <f t="shared" ca="1" si="2"/>
        <v>#NAME?</v>
      </c>
      <c r="J106" s="4" t="e">
        <f t="shared" ca="1" si="3"/>
        <v>#NAME?</v>
      </c>
    </row>
    <row r="107" spans="1:10" x14ac:dyDescent="0.25">
      <c r="G107" s="91"/>
    </row>
    <row r="108" spans="1:10" x14ac:dyDescent="0.25">
      <c r="G108"/>
    </row>
    <row r="109" spans="1:10" x14ac:dyDescent="0.25">
      <c r="G109"/>
    </row>
    <row r="110" spans="1:10" x14ac:dyDescent="0.25">
      <c r="G110"/>
    </row>
  </sheetData>
  <phoneticPr fontId="1" type="noConversion"/>
  <conditionalFormatting sqref="K1:K23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E2"/>
  <sheetViews>
    <sheetView workbookViewId="0">
      <selection activeCell="N13" sqref="N13"/>
    </sheetView>
  </sheetViews>
  <sheetFormatPr defaultRowHeight="12.5" x14ac:dyDescent="0.25"/>
  <sheetData>
    <row r="2" spans="5:5" x14ac:dyDescent="0.25">
      <c r="E2">
        <v>20240716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监控界面</vt:lpstr>
      <vt:lpstr>交易监控表</vt:lpstr>
      <vt:lpstr>中概互联实时折溢价</vt:lpstr>
      <vt:lpstr>纳指ETF折溢价</vt:lpstr>
      <vt:lpstr>广发中概折溢价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xyq_trade</dc:creator>
  <cp:lastModifiedBy>Menger Gilmour</cp:lastModifiedBy>
  <dcterms:created xsi:type="dcterms:W3CDTF">2017-09-11T02:46:52Z</dcterms:created>
  <dcterms:modified xsi:type="dcterms:W3CDTF">2024-07-23T06:08:24Z</dcterms:modified>
</cp:coreProperties>
</file>