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实习\"/>
    </mc:Choice>
  </mc:AlternateContent>
  <xr:revisionPtr revIDLastSave="0" documentId="13_ncr:1_{32A755EE-F001-469F-9AB6-E26B060BD694}" xr6:coauthVersionLast="47" xr6:coauthVersionMax="47" xr10:uidLastSave="{00000000-0000-0000-0000-000000000000}"/>
  <bookViews>
    <workbookView xWindow="-120" yWindow="-120" windowWidth="29040" windowHeight="15720" tabRatio="629" firstSheet="2" activeTab="2" xr2:uid="{00000000-000D-0000-FFFF-FFFF00000000}"/>
  </bookViews>
  <sheets>
    <sheet name="监控界面" sheetId="26" state="hidden" r:id="rId1"/>
    <sheet name="交易监控表" sheetId="14" state="hidden" r:id="rId2"/>
    <sheet name="中概互联实时折溢价" sheetId="6" r:id="rId3"/>
    <sheet name="纳指ETF折溢价" sheetId="4" r:id="rId4"/>
    <sheet name="广发中概折溢价" sheetId="27" state="hidden" r:id="rId5"/>
  </sheets>
  <externalReferences>
    <externalReference r:id="rId6"/>
  </externalReferences>
  <calcPr calcId="181029"/>
</workbook>
</file>

<file path=xl/calcChain.xml><?xml version="1.0" encoding="utf-8"?>
<calcChain xmlns="http://schemas.openxmlformats.org/spreadsheetml/2006/main">
  <c r="AE7" i="6" l="1"/>
  <c r="AB10" i="6"/>
  <c r="AB11" i="6"/>
  <c r="AB12" i="6"/>
  <c r="AU30" i="6"/>
  <c r="AT30" i="6"/>
  <c r="AS30" i="6"/>
  <c r="AR30" i="6"/>
  <c r="AQ30" i="6"/>
  <c r="AP30" i="6"/>
  <c r="AO30" i="6"/>
  <c r="AN30" i="6"/>
  <c r="O5" i="6"/>
  <c r="AN28" i="6"/>
  <c r="V8" i="6"/>
  <c r="AX28" i="6"/>
  <c r="AP33" i="6" s="1"/>
  <c r="AP28" i="6"/>
  <c r="AW28" i="6"/>
  <c r="AV28" i="6"/>
  <c r="AW30" i="6"/>
  <c r="AV30" i="6"/>
  <c r="AQ3" i="6"/>
  <c r="AU28" i="6"/>
  <c r="AT28" i="6"/>
  <c r="AG7" i="6"/>
  <c r="AO28" i="6"/>
  <c r="AQ28" i="6"/>
  <c r="AR28" i="6"/>
  <c r="AS28" i="6"/>
  <c r="AF7" i="6"/>
  <c r="V38" i="6"/>
  <c r="V37" i="6"/>
  <c r="V36" i="6"/>
  <c r="V35" i="6"/>
  <c r="V34" i="6"/>
  <c r="V33" i="6"/>
  <c r="V32" i="6"/>
  <c r="V31" i="6"/>
  <c r="V30" i="6"/>
  <c r="V29" i="6"/>
  <c r="V28" i="6"/>
  <c r="V27" i="6"/>
  <c r="V26" i="6"/>
  <c r="V25" i="6"/>
  <c r="V24" i="6"/>
  <c r="V23" i="6"/>
  <c r="V22" i="6"/>
  <c r="V21" i="6"/>
  <c r="V20" i="6"/>
  <c r="V19" i="6"/>
  <c r="V18" i="6"/>
  <c r="V17" i="6"/>
  <c r="V16" i="6"/>
  <c r="V15" i="6"/>
  <c r="V14" i="6"/>
  <c r="V13" i="6"/>
  <c r="V12" i="6"/>
  <c r="V11" i="6"/>
  <c r="V10" i="6"/>
  <c r="V9" i="6"/>
  <c r="V7" i="6"/>
  <c r="V6" i="6"/>
  <c r="AO4" i="6"/>
  <c r="I6" i="6"/>
  <c r="G9" i="26"/>
  <c r="G6" i="26"/>
  <c r="G4" i="26"/>
  <c r="G2" i="26"/>
  <c r="G3" i="26"/>
  <c r="C2" i="26"/>
  <c r="B2" i="26"/>
  <c r="N2" i="6"/>
  <c r="I70" i="6"/>
  <c r="I15" i="4"/>
  <c r="L3" i="6"/>
  <c r="I39" i="4"/>
  <c r="J89" i="4"/>
  <c r="M26" i="6"/>
  <c r="J14" i="4"/>
  <c r="J74" i="4"/>
  <c r="J84" i="4"/>
  <c r="I106" i="4"/>
  <c r="I48" i="4"/>
  <c r="I72" i="6"/>
  <c r="I26" i="4"/>
  <c r="I24" i="4"/>
  <c r="I55" i="4"/>
  <c r="I71" i="4"/>
  <c r="J20" i="4"/>
  <c r="J41" i="4"/>
  <c r="I65" i="4"/>
  <c r="I21" i="4"/>
  <c r="I35" i="4"/>
  <c r="J30" i="4"/>
  <c r="J48" i="4"/>
  <c r="J15" i="4"/>
  <c r="I68" i="6"/>
  <c r="I44" i="4"/>
  <c r="J62" i="4"/>
  <c r="D3" i="14"/>
  <c r="M36" i="6"/>
  <c r="I11" i="4"/>
  <c r="E5" i="14"/>
  <c r="I18" i="4"/>
  <c r="I63" i="6"/>
  <c r="J85" i="4"/>
  <c r="J34" i="4"/>
  <c r="I84" i="4"/>
  <c r="J94" i="4"/>
  <c r="M31" i="6"/>
  <c r="I50" i="6"/>
  <c r="M14" i="6"/>
  <c r="I59" i="6"/>
  <c r="J93" i="4"/>
  <c r="J36" i="4"/>
  <c r="M15" i="6"/>
  <c r="J55" i="4"/>
  <c r="I74" i="6"/>
  <c r="I9" i="4"/>
  <c r="J51" i="4"/>
  <c r="I83" i="4"/>
  <c r="I45" i="6"/>
  <c r="J82" i="4"/>
  <c r="I12" i="4"/>
  <c r="J75" i="4"/>
  <c r="I51" i="6"/>
  <c r="J59" i="4"/>
  <c r="J58" i="4"/>
  <c r="I16" i="4"/>
  <c r="I62" i="4"/>
  <c r="I62" i="6"/>
  <c r="I59" i="4"/>
  <c r="J29" i="4"/>
  <c r="I89" i="4"/>
  <c r="I73" i="6"/>
  <c r="J17" i="4"/>
  <c r="I104" i="4"/>
  <c r="J56" i="4"/>
  <c r="I72" i="4"/>
  <c r="J50" i="4"/>
  <c r="I64" i="4"/>
  <c r="J88" i="4"/>
  <c r="M38" i="6"/>
  <c r="I42" i="4"/>
  <c r="I30" i="4"/>
  <c r="I46" i="6"/>
  <c r="J96" i="4"/>
  <c r="J81" i="4"/>
  <c r="J90" i="4"/>
  <c r="M19" i="6"/>
  <c r="I80" i="4"/>
  <c r="M29" i="6"/>
  <c r="I40" i="4"/>
  <c r="I86" i="4"/>
  <c r="J46" i="4"/>
  <c r="J86" i="4"/>
  <c r="M33" i="6"/>
  <c r="M9" i="6"/>
  <c r="E3" i="14"/>
  <c r="I91" i="4"/>
  <c r="J25" i="4"/>
  <c r="I23" i="4"/>
  <c r="J49" i="4"/>
  <c r="I38" i="4"/>
  <c r="J102" i="4"/>
  <c r="I27" i="4"/>
  <c r="I82" i="4"/>
  <c r="M37" i="6"/>
  <c r="J83" i="4"/>
  <c r="J10" i="4"/>
  <c r="J91" i="4"/>
  <c r="I76" i="4"/>
  <c r="I25" i="4"/>
  <c r="I63" i="4"/>
  <c r="I102" i="4"/>
  <c r="M11" i="6"/>
  <c r="J70" i="4"/>
  <c r="I56" i="6"/>
  <c r="I93" i="4"/>
  <c r="J18" i="4"/>
  <c r="J68" i="4"/>
  <c r="I45" i="4"/>
  <c r="I31" i="4"/>
  <c r="D5" i="14"/>
  <c r="I20" i="4"/>
  <c r="I79" i="4"/>
  <c r="I32" i="4"/>
  <c r="I14" i="4"/>
  <c r="I10" i="4"/>
  <c r="I64" i="6"/>
  <c r="I90" i="4"/>
  <c r="J65" i="4"/>
  <c r="J13" i="4"/>
  <c r="I85" i="4"/>
  <c r="J35" i="4"/>
  <c r="J11" i="4"/>
  <c r="I51" i="4"/>
  <c r="I105" i="4"/>
  <c r="I88" i="4"/>
  <c r="I13" i="4"/>
  <c r="J80" i="4"/>
  <c r="J19" i="4"/>
  <c r="I78" i="4"/>
  <c r="J64" i="4"/>
  <c r="I97" i="4"/>
  <c r="I66" i="6"/>
  <c r="M25" i="6"/>
  <c r="I56" i="4"/>
  <c r="J52" i="4"/>
  <c r="J95" i="4"/>
  <c r="M23" i="6"/>
  <c r="A6" i="4"/>
  <c r="I46" i="4"/>
  <c r="I49" i="6"/>
  <c r="M7" i="6"/>
  <c r="J26" i="4"/>
  <c r="J23" i="4"/>
  <c r="I8" i="4"/>
  <c r="J71" i="4"/>
  <c r="I57" i="4"/>
  <c r="M35" i="6"/>
  <c r="I73" i="4"/>
  <c r="M34" i="6"/>
  <c r="I17" i="4"/>
  <c r="J87" i="4"/>
  <c r="I101" i="4"/>
  <c r="J9" i="4"/>
  <c r="M21" i="6"/>
  <c r="M22" i="6"/>
  <c r="I48" i="6"/>
  <c r="M32" i="6"/>
  <c r="I69" i="6"/>
  <c r="I60" i="4"/>
  <c r="I43" i="6"/>
  <c r="J66" i="4"/>
  <c r="J42" i="4"/>
  <c r="I49" i="4"/>
  <c r="I29" i="4"/>
  <c r="J44" i="4"/>
  <c r="J73" i="4"/>
  <c r="I103" i="4"/>
  <c r="M12" i="6"/>
  <c r="I92" i="4"/>
  <c r="I44" i="6"/>
  <c r="I6" i="4"/>
  <c r="J45" i="4"/>
  <c r="J43" i="4"/>
  <c r="J63" i="4"/>
  <c r="J7" i="4"/>
  <c r="M8" i="6"/>
  <c r="J106" i="4"/>
  <c r="I71" i="6"/>
  <c r="M20" i="6"/>
  <c r="I67" i="4"/>
  <c r="I57" i="6"/>
  <c r="I43" i="4"/>
  <c r="I98" i="4"/>
  <c r="J28" i="4"/>
  <c r="I68" i="4"/>
  <c r="J77" i="4"/>
  <c r="J60" i="4"/>
  <c r="I33" i="4"/>
  <c r="M30" i="6"/>
  <c r="E4" i="14"/>
  <c r="I41" i="4"/>
  <c r="I36" i="4"/>
  <c r="J6" i="4"/>
  <c r="I87" i="4"/>
  <c r="J98" i="4"/>
  <c r="J99" i="4"/>
  <c r="J31" i="4"/>
  <c r="I55" i="6"/>
  <c r="I34" i="4"/>
  <c r="J53" i="4"/>
  <c r="M28" i="6"/>
  <c r="I47" i="4"/>
  <c r="M16" i="6"/>
  <c r="I94" i="4"/>
  <c r="J39" i="4"/>
  <c r="I100" i="4"/>
  <c r="I75" i="6"/>
  <c r="I53" i="6"/>
  <c r="J100" i="4"/>
  <c r="I58" i="4"/>
  <c r="I54" i="4"/>
  <c r="I61" i="4"/>
  <c r="I28" i="4"/>
  <c r="J105" i="4"/>
  <c r="J33" i="4"/>
  <c r="J79" i="4"/>
  <c r="J22" i="4"/>
  <c r="J103" i="4"/>
  <c r="I65" i="6"/>
  <c r="I53" i="4"/>
  <c r="J54" i="4"/>
  <c r="J12" i="4"/>
  <c r="J32" i="4"/>
  <c r="A6" i="6"/>
  <c r="I19" i="4"/>
  <c r="L2" i="6"/>
  <c r="J72" i="4"/>
  <c r="J57" i="4"/>
  <c r="J104" i="4"/>
  <c r="I75" i="4"/>
  <c r="J24" i="4"/>
  <c r="I67" i="6"/>
  <c r="J78" i="4"/>
  <c r="J21" i="4"/>
  <c r="J40" i="4"/>
  <c r="I60" i="6"/>
  <c r="I54" i="6"/>
  <c r="J38" i="4"/>
  <c r="I47" i="6"/>
  <c r="I58" i="6"/>
  <c r="I70" i="4"/>
  <c r="J8" i="4"/>
  <c r="I66" i="4"/>
  <c r="J69" i="4"/>
  <c r="M27" i="6"/>
  <c r="M10" i="6"/>
  <c r="J47" i="4"/>
  <c r="J76" i="4"/>
  <c r="J16" i="4"/>
  <c r="I69" i="4"/>
  <c r="J37" i="4"/>
  <c r="I52" i="6"/>
  <c r="I50" i="4"/>
  <c r="M18" i="6"/>
  <c r="I81" i="4"/>
  <c r="I77" i="4"/>
  <c r="I7" i="4"/>
  <c r="I52" i="4"/>
  <c r="D4" i="14"/>
  <c r="I95" i="4"/>
  <c r="I74" i="4"/>
  <c r="J61" i="4"/>
  <c r="J67" i="4"/>
  <c r="I96" i="4"/>
  <c r="J92" i="4"/>
  <c r="I99" i="4"/>
  <c r="I61" i="6"/>
  <c r="J27" i="4"/>
  <c r="M13" i="6"/>
  <c r="J101" i="4"/>
  <c r="M17" i="6"/>
  <c r="M6" i="6"/>
  <c r="J97" i="4"/>
  <c r="I37" i="4"/>
  <c r="I22" i="4"/>
  <c r="M24" i="6"/>
  <c r="AN29" i="6" l="1"/>
  <c r="O32" i="6"/>
  <c r="P32" i="6" s="1"/>
  <c r="O37" i="6"/>
  <c r="P37" i="6" s="1"/>
  <c r="O26" i="6"/>
  <c r="P26" i="6" s="1"/>
  <c r="O36" i="6"/>
  <c r="P36" i="6" s="1"/>
  <c r="O30" i="6"/>
  <c r="P30" i="6" s="1"/>
  <c r="O29" i="6"/>
  <c r="P29" i="6" s="1"/>
  <c r="O28" i="6"/>
  <c r="P28" i="6" s="1"/>
  <c r="O35" i="6"/>
  <c r="P35" i="6" s="1"/>
  <c r="O31" i="6"/>
  <c r="P31" i="6" s="1"/>
  <c r="O27" i="6"/>
  <c r="P27" i="6" s="1"/>
  <c r="O34" i="6"/>
  <c r="P34" i="6" s="1"/>
  <c r="O38" i="6"/>
  <c r="P38" i="6" s="1"/>
  <c r="O33" i="6"/>
  <c r="P33" i="6" s="1"/>
  <c r="W6" i="6"/>
  <c r="X6" i="6" s="1"/>
  <c r="O6" i="6"/>
  <c r="P6" i="6" s="1"/>
  <c r="O11" i="6"/>
  <c r="P11" i="6" s="1"/>
  <c r="O7" i="6"/>
  <c r="P7" i="6" s="1"/>
  <c r="O12" i="6"/>
  <c r="P12" i="6" s="1"/>
  <c r="O10" i="6"/>
  <c r="P10" i="6" s="1"/>
  <c r="O9" i="6"/>
  <c r="P9" i="6" s="1"/>
  <c r="O8" i="6"/>
  <c r="P8" i="6" s="1"/>
  <c r="O18" i="6"/>
  <c r="P18" i="6" s="1"/>
  <c r="O17" i="6"/>
  <c r="P17" i="6" s="1"/>
  <c r="O16" i="6"/>
  <c r="P16" i="6" s="1"/>
  <c r="O15" i="6"/>
  <c r="P15" i="6" s="1"/>
  <c r="O14" i="6"/>
  <c r="P14" i="6" s="1"/>
  <c r="O25" i="6"/>
  <c r="P25" i="6" s="1"/>
  <c r="O13" i="6"/>
  <c r="P13" i="6" s="1"/>
  <c r="O24" i="6"/>
  <c r="P24" i="6" s="1"/>
  <c r="O23" i="6"/>
  <c r="P23" i="6" s="1"/>
  <c r="O22" i="6"/>
  <c r="P22" i="6" s="1"/>
  <c r="O21" i="6"/>
  <c r="P21" i="6" s="1"/>
  <c r="O20" i="6"/>
  <c r="P20" i="6" s="1"/>
  <c r="O19" i="6"/>
  <c r="P19" i="6" s="1"/>
  <c r="AS33" i="6"/>
  <c r="AT33" i="6"/>
  <c r="AR33" i="6"/>
  <c r="AQ33" i="6"/>
  <c r="AO33" i="6"/>
  <c r="AN33" i="6"/>
  <c r="AW33" i="6"/>
  <c r="AV33" i="6"/>
  <c r="AU33" i="6"/>
  <c r="AP29" i="6"/>
  <c r="AV29" i="6"/>
  <c r="AV31" i="6" s="1"/>
  <c r="AS29" i="6"/>
  <c r="AS31" i="6" s="1"/>
  <c r="AW29" i="6"/>
  <c r="AW31" i="6" s="1"/>
  <c r="AU29" i="6"/>
  <c r="AU31" i="6" s="1"/>
  <c r="AT29" i="6"/>
  <c r="AT31" i="6" s="1"/>
  <c r="AR29" i="6"/>
  <c r="AQ29" i="6"/>
  <c r="AO29" i="6"/>
  <c r="W9" i="6"/>
  <c r="X9" i="6" s="1"/>
  <c r="W21" i="6"/>
  <c r="X21" i="6" s="1"/>
  <c r="W14" i="6"/>
  <c r="X14" i="6" s="1"/>
  <c r="W10" i="6"/>
  <c r="X10" i="6" s="1"/>
  <c r="W11" i="6"/>
  <c r="X11" i="6" s="1"/>
  <c r="W23" i="6"/>
  <c r="X23" i="6" s="1"/>
  <c r="W12" i="6"/>
  <c r="X12" i="6" s="1"/>
  <c r="W24" i="6"/>
  <c r="X24" i="6" s="1"/>
  <c r="W25" i="6"/>
  <c r="X25" i="6" s="1"/>
  <c r="W15" i="6"/>
  <c r="X15" i="6" s="1"/>
  <c r="W13" i="6"/>
  <c r="X13" i="6" s="1"/>
  <c r="W8" i="6"/>
  <c r="X8" i="6" s="1"/>
  <c r="W17" i="6"/>
  <c r="X17" i="6" s="1"/>
  <c r="W22" i="6"/>
  <c r="X22" i="6" s="1"/>
  <c r="W18" i="6"/>
  <c r="X18" i="6" s="1"/>
  <c r="W20" i="6"/>
  <c r="X20" i="6" s="1"/>
  <c r="W7" i="6"/>
  <c r="X7" i="6" s="1"/>
  <c r="W19" i="6"/>
  <c r="X19" i="6" s="1"/>
  <c r="W16" i="6"/>
  <c r="X16" i="6" s="1"/>
  <c r="D2" i="14"/>
  <c r="E2" i="14"/>
  <c r="G8" i="26"/>
  <c r="G7" i="26"/>
  <c r="B8" i="26"/>
  <c r="B5" i="26"/>
  <c r="B7" i="26"/>
  <c r="B6" i="26"/>
  <c r="Q6" i="6" l="1"/>
  <c r="R6" i="6" s="1"/>
  <c r="T6" i="6" s="1"/>
  <c r="W36" i="6"/>
  <c r="X36" i="6" s="1"/>
  <c r="W27" i="6"/>
  <c r="X27" i="6" s="1"/>
  <c r="AO31" i="6"/>
  <c r="AP31" i="6"/>
  <c r="W32" i="6"/>
  <c r="X32" i="6" s="1"/>
  <c r="AQ31" i="6"/>
  <c r="W34" i="6"/>
  <c r="X34" i="6" s="1"/>
  <c r="AR31" i="6"/>
  <c r="W26" i="6"/>
  <c r="X26" i="6" s="1"/>
  <c r="AN31" i="6"/>
  <c r="D8" i="26"/>
  <c r="D6" i="26"/>
  <c r="J6" i="26"/>
  <c r="H6" i="26" s="1"/>
  <c r="I6" i="26" s="1"/>
  <c r="J4" i="26"/>
  <c r="H4" i="26" s="1"/>
  <c r="I4" i="26" s="1"/>
  <c r="J3" i="26"/>
  <c r="H3" i="26" s="1"/>
  <c r="I3" i="26" s="1"/>
  <c r="J7" i="26"/>
  <c r="H7" i="26" s="1"/>
  <c r="I7" i="26" s="1"/>
  <c r="J9" i="26"/>
  <c r="H9" i="26" s="1"/>
  <c r="I9" i="26" s="1"/>
  <c r="J5" i="26"/>
  <c r="H5" i="26" s="1"/>
  <c r="I5" i="26" s="1"/>
  <c r="J8" i="26"/>
  <c r="H8" i="26" s="1"/>
  <c r="I8" i="26" s="1"/>
  <c r="AY28" i="6" l="1"/>
  <c r="W30" i="6" s="1"/>
  <c r="C8" i="26"/>
  <c r="C5" i="26"/>
  <c r="C6" i="26"/>
  <c r="J2" i="26"/>
  <c r="W37" i="6" l="1"/>
  <c r="X37" i="6" s="1"/>
  <c r="W38" i="6"/>
  <c r="X38" i="6" s="1"/>
  <c r="W33" i="6"/>
  <c r="X33" i="6" s="1"/>
  <c r="W35" i="6"/>
  <c r="X35" i="6" s="1"/>
  <c r="W29" i="6"/>
  <c r="X29" i="6" s="1"/>
  <c r="X30" i="6"/>
  <c r="W31" i="6"/>
  <c r="X31" i="6" s="1"/>
  <c r="W28" i="6"/>
  <c r="X28" i="6" s="1"/>
  <c r="C7" i="26"/>
  <c r="Y6" i="6" l="1"/>
  <c r="Z6" i="6" s="1"/>
  <c r="AA10" i="6" l="1"/>
  <c r="AC10" i="6" s="1"/>
  <c r="AA11" i="6"/>
  <c r="AC11" i="6" s="1"/>
  <c r="AA12" i="6"/>
  <c r="AC12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iQuant</author>
    <author>ACER</author>
  </authors>
  <commentList>
    <comment ref="C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N2" authorId="1" shapeId="0" xr:uid="{5C5387E8-EDC8-4A26-8AF2-A9E3C172E96A}">
      <text>
        <r>
          <rPr>
            <b/>
            <sz val="9"/>
            <color indexed="81"/>
            <rFont val="宋体"/>
            <charset val="134"/>
          </rPr>
          <t>如需修改，请使用Excel插件-Wind-函数-编辑函数</t>
        </r>
      </text>
    </comment>
    <comment ref="A6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Q43" authorId="1" shapeId="0" xr:uid="{74306361-EA7F-453A-BDCC-1DCE5A8E5A56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  <comment ref="AP45" authorId="1" shapeId="0" xr:uid="{B3972559-BEED-4954-A32A-D3BE53E5ED3C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  <comment ref="R48" authorId="1" shapeId="0" xr:uid="{E82E21E6-5692-4BC8-A76E-58DAFBA29F30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iQuant</author>
  </authors>
  <commentList>
    <comment ref="C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A6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<sst xmlns="http://schemas.openxmlformats.org/spreadsheetml/2006/main" count="613" uniqueCount="385">
  <si>
    <t>数据集名称</t>
  </si>
  <si>
    <t>ETF申赎成分信息</t>
  </si>
  <si>
    <t>日期</t>
  </si>
  <si>
    <t>Wind代码</t>
  </si>
  <si>
    <t>date</t>
  </si>
  <si>
    <t>wind_code</t>
    <phoneticPr fontId="4" type="noConversion"/>
  </si>
  <si>
    <t>sec_name</t>
  </si>
  <si>
    <t>volume</t>
  </si>
  <si>
    <t>cash_substitution_mark</t>
  </si>
  <si>
    <t>cash_substitution_premium_ratio</t>
  </si>
  <si>
    <t>fixed_substitution_amount</t>
  </si>
  <si>
    <t>证券名称</t>
  </si>
  <si>
    <t>数量</t>
  </si>
  <si>
    <t>现金替代标志</t>
  </si>
  <si>
    <t>现金替代溢价比例(%)</t>
  </si>
  <si>
    <t>固定替代金额</t>
  </si>
  <si>
    <t>退补</t>
  </si>
  <si>
    <t>必须</t>
  </si>
  <si>
    <t>3888.HK</t>
  </si>
  <si>
    <t>金山软件</t>
  </si>
  <si>
    <t>ATHM.N</t>
  </si>
  <si>
    <t>汽车之家</t>
  </si>
  <si>
    <t>TAL.N</t>
  </si>
  <si>
    <t>好未来</t>
  </si>
  <si>
    <t>VIPS.N</t>
  </si>
  <si>
    <t>唯品会</t>
  </si>
  <si>
    <t>WB.O</t>
  </si>
  <si>
    <t>微博</t>
  </si>
  <si>
    <t>YY.O</t>
  </si>
  <si>
    <t>IQ.O</t>
  </si>
  <si>
    <t>0772.HK</t>
  </si>
  <si>
    <t>阅文集团</t>
  </si>
  <si>
    <t>wind_code</t>
    <phoneticPr fontId="4" type="noConversion"/>
  </si>
  <si>
    <t>ADBE.O</t>
  </si>
  <si>
    <t>ADI.O</t>
  </si>
  <si>
    <t>亚德诺(ANALOG)</t>
  </si>
  <si>
    <t>ADP.O</t>
  </si>
  <si>
    <t>自动数据处理</t>
  </si>
  <si>
    <t>ADSK.O</t>
  </si>
  <si>
    <t>欧特克(AUTODESK)</t>
  </si>
  <si>
    <t>AMAT.O</t>
  </si>
  <si>
    <t>AMGN.O</t>
  </si>
  <si>
    <t>安进(AMGEN)</t>
  </si>
  <si>
    <t>AMZN.O</t>
  </si>
  <si>
    <t>亚马逊(AMAZON)</t>
  </si>
  <si>
    <t>ASML.O</t>
  </si>
  <si>
    <t>阿斯麦</t>
  </si>
  <si>
    <t>AVGO.O</t>
  </si>
  <si>
    <t>博通(BROADCOM)</t>
  </si>
  <si>
    <t>BIIB.O</t>
  </si>
  <si>
    <t>生物基因(BIOGEN)</t>
  </si>
  <si>
    <t>BKNG.O</t>
  </si>
  <si>
    <t>BOOKING</t>
  </si>
  <si>
    <t>CDNS.O</t>
  </si>
  <si>
    <t>CHTR.O</t>
  </si>
  <si>
    <t>CMCSA.O</t>
  </si>
  <si>
    <t>康卡斯特(COMCAST)</t>
  </si>
  <si>
    <t>COST.O</t>
  </si>
  <si>
    <t>CSCO.O</t>
  </si>
  <si>
    <t>CSX.O</t>
  </si>
  <si>
    <t>CSX运输</t>
  </si>
  <si>
    <t>CTAS.O</t>
  </si>
  <si>
    <t>信达思(CINTAS)</t>
  </si>
  <si>
    <t>CTSH.O</t>
  </si>
  <si>
    <t>DLTR.O</t>
  </si>
  <si>
    <t>美元树(DOLLAR TREE)</t>
  </si>
  <si>
    <t>EA.O</t>
  </si>
  <si>
    <t>FAST.O</t>
  </si>
  <si>
    <t>快扣(FASTENAL)</t>
  </si>
  <si>
    <t>GILD.O</t>
  </si>
  <si>
    <t>GOOG.O</t>
  </si>
  <si>
    <t>GOOGL.O</t>
  </si>
  <si>
    <t>IDXX.O</t>
  </si>
  <si>
    <t>IDEXX实验室</t>
  </si>
  <si>
    <t>ILMN.O</t>
  </si>
  <si>
    <t>ILLUMINA</t>
  </si>
  <si>
    <t>INTC.O</t>
  </si>
  <si>
    <t>英特尔(INTEL)</t>
  </si>
  <si>
    <t>INTU.O</t>
  </si>
  <si>
    <t>ISRG.O</t>
  </si>
  <si>
    <t>KHC.O</t>
  </si>
  <si>
    <t>卡夫亨氏(KRAFT HEINZ)</t>
  </si>
  <si>
    <t>KLAC.O</t>
  </si>
  <si>
    <t>LRCX.O</t>
  </si>
  <si>
    <t>拉姆研究(LAM RESEARCH)</t>
  </si>
  <si>
    <t>MAR.O</t>
  </si>
  <si>
    <t>万豪国际(MARRIOTT INTL)</t>
  </si>
  <si>
    <t>MCHP.O</t>
  </si>
  <si>
    <t>MDLZ.O</t>
  </si>
  <si>
    <t>亿滋国际(MONDELEZ INTL)</t>
  </si>
  <si>
    <t>MELI.O</t>
  </si>
  <si>
    <t>MERCADOLIBRE</t>
  </si>
  <si>
    <t>MNST.O</t>
  </si>
  <si>
    <t>MSFT.O</t>
  </si>
  <si>
    <t>MU.O</t>
  </si>
  <si>
    <t>NFLX.O</t>
  </si>
  <si>
    <t>NVDA.O</t>
  </si>
  <si>
    <t>英伟达(NVIDIA)</t>
  </si>
  <si>
    <t>ORLY.O</t>
  </si>
  <si>
    <t>奥莱利汽车(O REILLY AUTOMOTIVE)</t>
  </si>
  <si>
    <t>PAYX.O</t>
  </si>
  <si>
    <t>PCAR.O</t>
  </si>
  <si>
    <t>PYPL.O</t>
  </si>
  <si>
    <t>QCOM.O</t>
  </si>
  <si>
    <t>REGN.O</t>
  </si>
  <si>
    <t>再生元制药(REGENERON)</t>
  </si>
  <si>
    <t>ROST.O</t>
  </si>
  <si>
    <t>SBUX.O</t>
  </si>
  <si>
    <t>星巴克(STARBUCKS)</t>
  </si>
  <si>
    <t>SNPS.O</t>
  </si>
  <si>
    <t>TMUS.O</t>
  </si>
  <si>
    <t>T-MOBILE US</t>
  </si>
  <si>
    <t>TSLA.O</t>
  </si>
  <si>
    <t>TXN.O</t>
  </si>
  <si>
    <t>VRSK.O</t>
  </si>
  <si>
    <t>VERISK ANALYTICS</t>
  </si>
  <si>
    <t>VRTX.O</t>
  </si>
  <si>
    <t>福泰制药(VERTEX)</t>
  </si>
  <si>
    <t>WBA.O</t>
  </si>
  <si>
    <t>沃尔格林联合博姿</t>
  </si>
  <si>
    <t>WDAY.O</t>
  </si>
  <si>
    <t>WORKDAY</t>
  </si>
  <si>
    <t>美国电力</t>
  </si>
  <si>
    <t>AMD.O</t>
  </si>
  <si>
    <t>超威半导体(AMD)</t>
  </si>
  <si>
    <t>ANSS.O</t>
  </si>
  <si>
    <t>CPRT.O</t>
  </si>
  <si>
    <t>爱克斯龙电力(EXELON)</t>
  </si>
  <si>
    <t>PEP.O</t>
  </si>
  <si>
    <t>XEL.O</t>
  </si>
  <si>
    <t>埃克西尔能源(XCEL ENERGY)</t>
  </si>
  <si>
    <t>513100.OF</t>
    <phoneticPr fontId="1" type="noConversion"/>
  </si>
  <si>
    <t>3690.HK</t>
  </si>
  <si>
    <t>奥多比(ADOBE)</t>
  </si>
  <si>
    <t>513050.SH</t>
    <phoneticPr fontId="1" type="noConversion"/>
  </si>
  <si>
    <t>谷歌(ALPHABET)-C</t>
  </si>
  <si>
    <t>谷歌(ALPHABET)-A</t>
  </si>
  <si>
    <t>当天日期</t>
    <phoneticPr fontId="1" type="noConversion"/>
  </si>
  <si>
    <t>T-1交易日</t>
    <phoneticPr fontId="1" type="noConversion"/>
  </si>
  <si>
    <t>T-2交易日</t>
  </si>
  <si>
    <t>品种</t>
    <phoneticPr fontId="1" type="noConversion"/>
  </si>
  <si>
    <t>中概互联</t>
    <phoneticPr fontId="1" type="noConversion"/>
  </si>
  <si>
    <t>场内折溢价</t>
    <phoneticPr fontId="1" type="noConversion"/>
  </si>
  <si>
    <t>盘口价格</t>
    <phoneticPr fontId="1" type="noConversion"/>
  </si>
  <si>
    <t>513100.SH</t>
    <phoneticPr fontId="1" type="noConversion"/>
  </si>
  <si>
    <t>美元</t>
    <phoneticPr fontId="1" type="noConversion"/>
  </si>
  <si>
    <t>港币</t>
    <phoneticPr fontId="1" type="noConversion"/>
  </si>
  <si>
    <t>实时汇率</t>
    <phoneticPr fontId="1" type="noConversion"/>
  </si>
  <si>
    <t>中间价</t>
    <phoneticPr fontId="1" type="noConversion"/>
  </si>
  <si>
    <t>NXPI.O</t>
  </si>
  <si>
    <t>PDD.O</t>
  </si>
  <si>
    <t>拼多多</t>
  </si>
  <si>
    <t>LULU.O</t>
  </si>
  <si>
    <t>TME.N</t>
  </si>
  <si>
    <t>腾讯音乐</t>
  </si>
  <si>
    <t>腾讯控股</t>
    <phoneticPr fontId="1" type="noConversion"/>
  </si>
  <si>
    <t>美团点评</t>
    <phoneticPr fontId="1" type="noConversion"/>
  </si>
  <si>
    <t>日期(T)</t>
    <phoneticPr fontId="1" type="noConversion"/>
  </si>
  <si>
    <t>0780.HK</t>
  </si>
  <si>
    <t>EXC.O</t>
  </si>
  <si>
    <t>阿里折溢</t>
    <phoneticPr fontId="1" type="noConversion"/>
  </si>
  <si>
    <t>纳指100ETF</t>
    <phoneticPr fontId="1" type="noConversion"/>
  </si>
  <si>
    <t>欢聚</t>
  </si>
  <si>
    <t>DXCM.O</t>
  </si>
  <si>
    <t>0700.HK</t>
  </si>
  <si>
    <t>腾讯控股</t>
  </si>
  <si>
    <t>1833.HK</t>
  </si>
  <si>
    <t>平安好医生</t>
  </si>
  <si>
    <t>京东折溢</t>
    <phoneticPr fontId="1" type="noConversion"/>
  </si>
  <si>
    <t>网易折溢</t>
    <phoneticPr fontId="1" type="noConversion"/>
  </si>
  <si>
    <t>MRNA.O</t>
  </si>
  <si>
    <t>MODERNA</t>
  </si>
  <si>
    <t>1810.HK</t>
  </si>
  <si>
    <t>小米集团-W</t>
  </si>
  <si>
    <t>BEKE.N</t>
  </si>
  <si>
    <t>小米集团</t>
    <phoneticPr fontId="1" type="noConversion"/>
  </si>
  <si>
    <t>AEP.O</t>
  </si>
  <si>
    <t>KDP.O</t>
  </si>
  <si>
    <t>KEURIG DR PEPPER</t>
  </si>
  <si>
    <t>美团-W</t>
  </si>
  <si>
    <t>LU.N</t>
  </si>
  <si>
    <t>6060.HK</t>
  </si>
  <si>
    <t>众安在线</t>
  </si>
  <si>
    <t>6618.HK</t>
  </si>
  <si>
    <t>京东健康</t>
  </si>
  <si>
    <t>MRVL.O</t>
  </si>
  <si>
    <t>迈威尔科技</t>
  </si>
  <si>
    <t>TEAM.O</t>
  </si>
  <si>
    <t>ATLASSIAN</t>
  </si>
  <si>
    <t>1024.HK</t>
  </si>
  <si>
    <t>快手-W</t>
  </si>
  <si>
    <t>百度折溢</t>
    <phoneticPr fontId="1" type="noConversion"/>
  </si>
  <si>
    <t>QFIN.O</t>
  </si>
  <si>
    <t>YMM.N</t>
  </si>
  <si>
    <t>贝壳</t>
  </si>
  <si>
    <t>爱奇艺</t>
  </si>
  <si>
    <t>陆金所控股</t>
  </si>
  <si>
    <t>满帮集团</t>
  </si>
  <si>
    <t>开市客(COSTCO)</t>
  </si>
  <si>
    <t>思科(CISCO)</t>
  </si>
  <si>
    <t>财捷(INTUIT)</t>
  </si>
  <si>
    <t>直觉外科(INTUITIVE)</t>
  </si>
  <si>
    <t>科天半导体(KLA)</t>
  </si>
  <si>
    <t>微芯科技(MICROCHIP)</t>
  </si>
  <si>
    <t>微软(MICROSOFT)</t>
  </si>
  <si>
    <t>奈飞(NETFLIX)</t>
  </si>
  <si>
    <t>沛齐(PAYCHEX)</t>
  </si>
  <si>
    <t>帕卡(PACCAR)</t>
  </si>
  <si>
    <t>百事(PEPSICO)</t>
  </si>
  <si>
    <t>高通(QUALCOMM)</t>
  </si>
  <si>
    <t>罗斯百货(ROSS)</t>
  </si>
  <si>
    <t>CRWD.O</t>
  </si>
  <si>
    <t>CROWDSTRIKE</t>
  </si>
  <si>
    <t>应用材料(APPLIED MATERIAL)</t>
  </si>
  <si>
    <t>安西斯(ANSYS)</t>
  </si>
  <si>
    <t>铿腾电子(CADENCE)</t>
  </si>
  <si>
    <t>特许通讯(CHARTER COMMUNICATIONS)</t>
  </si>
  <si>
    <t>科帕特(COPART)</t>
  </si>
  <si>
    <t>高知特科技(COGNIZANT)</t>
  </si>
  <si>
    <t>德康医疗(DEXCOM)</t>
  </si>
  <si>
    <t>艺电(ELECTRONIC ARTS)</t>
  </si>
  <si>
    <t>吉利德科学(GILEAD SCIENCES)</t>
  </si>
  <si>
    <t>露露乐蒙(LULULEMON)</t>
  </si>
  <si>
    <t>怪物饮料(MONSTER BEVERAGE)</t>
  </si>
  <si>
    <t>美光科技(MICRON TECHNOLOGY)</t>
  </si>
  <si>
    <t>恩智浦半导体(NXP SEMICONDUCTORS)</t>
  </si>
  <si>
    <t>新思科技(SYNOPSYS)</t>
  </si>
  <si>
    <t>特斯拉(TESLA)</t>
  </si>
  <si>
    <t>德州仪器(TEXAS INSTRUMENTS)</t>
  </si>
  <si>
    <t>日期</t>
    <phoneticPr fontId="4" type="noConversion"/>
  </si>
  <si>
    <t>脸书(META PLATFORMS)</t>
  </si>
  <si>
    <t>BZ.O</t>
  </si>
  <si>
    <t>BOSS直聘</t>
  </si>
  <si>
    <t>ABNB.O</t>
  </si>
  <si>
    <t>爱彼迎(AIRBNB)</t>
  </si>
  <si>
    <t>DDOG.O</t>
  </si>
  <si>
    <t>DATADOG</t>
  </si>
  <si>
    <t>FTNT.O</t>
  </si>
  <si>
    <t>飞塔(FORTINET)</t>
  </si>
  <si>
    <t>PANW.O</t>
  </si>
  <si>
    <t>PALO ALTO NETWORKS</t>
  </si>
  <si>
    <t>ZS.O</t>
  </si>
  <si>
    <t>ZSCALER</t>
  </si>
  <si>
    <t>同程旅行</t>
  </si>
  <si>
    <t>HON.O</t>
  </si>
  <si>
    <t>霍尼韦尔国际(HONEYWELL INTERNATIONAL)</t>
  </si>
  <si>
    <t>ODFL.O</t>
  </si>
  <si>
    <t>统领货运线</t>
  </si>
  <si>
    <t>CEG.O</t>
  </si>
  <si>
    <t>CONSTELLATION ENERGY</t>
  </si>
  <si>
    <t>AZN.O</t>
  </si>
  <si>
    <t>阿斯利康(ASTRA ZENECA)</t>
  </si>
  <si>
    <t>META.O</t>
  </si>
  <si>
    <t>9618.HK</t>
  </si>
  <si>
    <t>京东集团-SW</t>
  </si>
  <si>
    <t>9626.HK</t>
  </si>
  <si>
    <t>9888.HK</t>
  </si>
  <si>
    <t>百度集团-SW</t>
  </si>
  <si>
    <t>9961.HK</t>
  </si>
  <si>
    <t>携程集团-S</t>
  </si>
  <si>
    <t>9988.HK</t>
  </si>
  <si>
    <t>阿里巴巴-SW</t>
  </si>
  <si>
    <t>9999.HK</t>
  </si>
  <si>
    <t>网易-S</t>
  </si>
  <si>
    <t>贝宝(PAYPAL)</t>
  </si>
  <si>
    <t>哔哩哔哩-W</t>
  </si>
  <si>
    <t>BKR.O</t>
  </si>
  <si>
    <t>贝克休斯(BAKER HUGHES)</t>
  </si>
  <si>
    <t>CSGP.O</t>
  </si>
  <si>
    <t>科斯塔(COSTAR)</t>
  </si>
  <si>
    <t>FANG.O</t>
  </si>
  <si>
    <t>DIAMONDBACK能源</t>
  </si>
  <si>
    <t>GFS.O</t>
  </si>
  <si>
    <t>WBD.O</t>
  </si>
  <si>
    <t>WARNER BROS. DISCOVERY</t>
  </si>
  <si>
    <t>GEHC.O</t>
  </si>
  <si>
    <t>1797.HK</t>
  </si>
  <si>
    <t>东方甄选</t>
  </si>
  <si>
    <t>ON.O</t>
  </si>
  <si>
    <t>安森美半导体(ON SEMICONDUCTOR)</t>
  </si>
  <si>
    <t>TTD.O</t>
  </si>
  <si>
    <t>TRADE DESK</t>
  </si>
  <si>
    <t>格芯(GLOBALFOUNDRIES)</t>
  </si>
  <si>
    <t xml:space="preserve"> </t>
    <phoneticPr fontId="1" type="noConversion"/>
  </si>
  <si>
    <t>奇富科技</t>
  </si>
  <si>
    <t>GE HEALTHCARE</t>
  </si>
  <si>
    <t>ARM.O</t>
  </si>
  <si>
    <t>ARM</t>
  </si>
  <si>
    <t>CCEP.O</t>
  </si>
  <si>
    <t>可口可乐欧洲合伙</t>
  </si>
  <si>
    <t>CDW.O</t>
  </si>
  <si>
    <t>CDW</t>
  </si>
  <si>
    <t>DASH.O</t>
  </si>
  <si>
    <t>DOORDASH</t>
  </si>
  <si>
    <t>LIN.O</t>
  </si>
  <si>
    <t>LINDE</t>
  </si>
  <si>
    <t>MDB.O</t>
  </si>
  <si>
    <t>MONGODB</t>
  </si>
  <si>
    <t>ROP.O</t>
  </si>
  <si>
    <t>儒博科技(ROPER TECHNOLOGIES)</t>
  </si>
  <si>
    <t>TTWO.O</t>
  </si>
  <si>
    <t>TAKE-TWO互动软件</t>
  </si>
  <si>
    <t>9885.HK</t>
  </si>
  <si>
    <t>药师帮</t>
  </si>
  <si>
    <t>9890.HK</t>
  </si>
  <si>
    <t>中旭未来</t>
  </si>
  <si>
    <t>美元</t>
    <phoneticPr fontId="1" type="noConversion"/>
  </si>
  <si>
    <t>实时汇率（CFETS）</t>
    <phoneticPr fontId="1" type="noConversion"/>
  </si>
  <si>
    <t>fixed_substitution_amount</t>
    <phoneticPr fontId="1" type="noConversion"/>
  </si>
  <si>
    <t>513050.OF</t>
    <phoneticPr fontId="1" type="noConversion"/>
  </si>
  <si>
    <t>申购成本</t>
    <phoneticPr fontId="1" type="noConversion"/>
  </si>
  <si>
    <t>涨幅</t>
    <phoneticPr fontId="1" type="noConversion"/>
  </si>
  <si>
    <t>港对美</t>
    <phoneticPr fontId="1" type="noConversion"/>
  </si>
  <si>
    <t>当天</t>
    <phoneticPr fontId="1" type="noConversion"/>
  </si>
  <si>
    <t>ETF申赎成分信息</t>
    <phoneticPr fontId="1" type="noConversion"/>
  </si>
  <si>
    <t>20240716</t>
    <phoneticPr fontId="1" type="noConversion"/>
  </si>
  <si>
    <t>0241.HK</t>
    <phoneticPr fontId="4" type="noConversion"/>
  </si>
  <si>
    <t>AAPL.O</t>
    <phoneticPr fontId="1" type="noConversion"/>
  </si>
  <si>
    <t>苹果(APPLE)</t>
    <phoneticPr fontId="4" type="noConversion"/>
  </si>
  <si>
    <t>退补</t>
    <phoneticPr fontId="4" type="noConversion"/>
  </si>
  <si>
    <t>阿里健康</t>
    <phoneticPr fontId="4" type="noConversion"/>
  </si>
  <si>
    <t>收盘价</t>
  </si>
  <si>
    <t>close</t>
  </si>
  <si>
    <t>Date</t>
  </si>
  <si>
    <t>9898.HK</t>
  </si>
  <si>
    <t>涨跌幅</t>
    <phoneticPr fontId="1" type="noConversion"/>
  </si>
  <si>
    <t>T-2净值</t>
    <phoneticPr fontId="1" type="noConversion"/>
  </si>
  <si>
    <t>T-1估计净值</t>
    <phoneticPr fontId="1" type="noConversion"/>
  </si>
  <si>
    <t>代码</t>
  </si>
  <si>
    <t>简称</t>
  </si>
  <si>
    <t>现价</t>
  </si>
  <si>
    <t>阿里巴巴 港</t>
    <phoneticPr fontId="1" type="noConversion"/>
  </si>
  <si>
    <t>BABA.N</t>
  </si>
  <si>
    <t>阿里巴巴</t>
  </si>
  <si>
    <t>实时价格</t>
    <phoneticPr fontId="1" type="noConversion"/>
  </si>
  <si>
    <t>0241.HK</t>
    <phoneticPr fontId="1" type="noConversion"/>
  </si>
  <si>
    <t>ATHM.N</t>
    <phoneticPr fontId="1" type="noConversion"/>
  </si>
  <si>
    <t>BEKE.N</t>
    <phoneticPr fontId="1" type="noConversion"/>
  </si>
  <si>
    <t>代码</t>
    <phoneticPr fontId="1" type="noConversion"/>
  </si>
  <si>
    <t>HKDCNY.IB</t>
    <phoneticPr fontId="1" type="noConversion"/>
  </si>
  <si>
    <t>USDCNY.IB</t>
    <phoneticPr fontId="1" type="noConversion"/>
  </si>
  <si>
    <t>简称</t>
    <phoneticPr fontId="1" type="noConversion"/>
  </si>
  <si>
    <t>港元兑人民币(CFETS)</t>
    <phoneticPr fontId="1" type="noConversion"/>
  </si>
  <si>
    <t>美元兑人民币(CFETS)</t>
    <phoneticPr fontId="1" type="noConversion"/>
  </si>
  <si>
    <t>人民币换算</t>
    <phoneticPr fontId="1" type="noConversion"/>
  </si>
  <si>
    <t>2518.HK</t>
  </si>
  <si>
    <t>2423.HK</t>
  </si>
  <si>
    <t>2076.HK</t>
  </si>
  <si>
    <t>3660.HK</t>
  </si>
  <si>
    <t>1698.HK</t>
  </si>
  <si>
    <t>汽车之家-S</t>
  </si>
  <si>
    <t>贝壳-W</t>
  </si>
  <si>
    <t>奇富科技-S</t>
  </si>
  <si>
    <t>腾讯音乐-SW</t>
  </si>
  <si>
    <t>微博-SW</t>
  </si>
  <si>
    <t>美股换算</t>
    <phoneticPr fontId="1" type="noConversion"/>
  </si>
  <si>
    <t>USDHKD.IB</t>
  </si>
  <si>
    <t>美元兑港元(CFETS)</t>
  </si>
  <si>
    <t>美股收盘价</t>
    <phoneticPr fontId="1" type="noConversion"/>
  </si>
  <si>
    <t>市值</t>
    <phoneticPr fontId="1" type="noConversion"/>
  </si>
  <si>
    <t xml:space="preserve">      </t>
    <phoneticPr fontId="1" type="noConversion"/>
  </si>
  <si>
    <t>阿里巴巴</t>
    <phoneticPr fontId="1" type="noConversion"/>
  </si>
  <si>
    <t>百度</t>
    <phoneticPr fontId="1" type="noConversion"/>
  </si>
  <si>
    <t>京东</t>
    <phoneticPr fontId="1" type="noConversion"/>
  </si>
  <si>
    <t>网易</t>
    <phoneticPr fontId="1" type="noConversion"/>
  </si>
  <si>
    <t>BILIBILI</t>
    <phoneticPr fontId="1" type="noConversion"/>
  </si>
  <si>
    <t>综合涨跌幅</t>
    <phoneticPr fontId="1" type="noConversion"/>
  </si>
  <si>
    <t>总市值</t>
    <phoneticPr fontId="1" type="noConversion"/>
  </si>
  <si>
    <t>占比</t>
    <phoneticPr fontId="1" type="noConversion"/>
  </si>
  <si>
    <t>持有金额</t>
    <phoneticPr fontId="1" type="noConversion"/>
  </si>
  <si>
    <t>总值</t>
    <phoneticPr fontId="1" type="noConversion"/>
  </si>
  <si>
    <t>实时估计净值</t>
    <phoneticPr fontId="1" type="noConversion"/>
  </si>
  <si>
    <t>基金实时价格</t>
    <phoneticPr fontId="1" type="noConversion"/>
  </si>
  <si>
    <t>折溢价情况</t>
    <phoneticPr fontId="1" type="noConversion"/>
  </si>
  <si>
    <t>0700.HK</t>
    <phoneticPr fontId="1" type="noConversion"/>
  </si>
  <si>
    <t>0772.HK</t>
    <phoneticPr fontId="1" type="noConversion"/>
  </si>
  <si>
    <t>0780.HK</t>
    <phoneticPr fontId="1" type="noConversion"/>
  </si>
  <si>
    <t>实时溢价</t>
    <phoneticPr fontId="1" type="noConversion"/>
  </si>
  <si>
    <t>买溢价</t>
    <phoneticPr fontId="1" type="noConversion"/>
  </si>
  <si>
    <t>卖溢价</t>
    <phoneticPr fontId="1" type="noConversion"/>
  </si>
  <si>
    <t>USDCNY.EX</t>
  </si>
  <si>
    <t>HKDCNY.EX</t>
  </si>
  <si>
    <t>加总</t>
    <phoneticPr fontId="1" type="noConversion"/>
  </si>
  <si>
    <t>20240719</t>
    <phoneticPr fontId="4" type="noConversion"/>
  </si>
  <si>
    <t>2024-07-23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</si>
</sst>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76" formatCode="###,###,##0.0000"/>
    <numFmt numFmtId="177" formatCode="0.0000"/>
    <numFmt numFmtId="178" formatCode="###,###,##0.00"/>
    <numFmt numFmtId="179" formatCode="0.00_ ;[Red]\-0.00\ "/>
    <numFmt numFmtId="180" formatCode="yyyy\-mm\-dd"/>
    <numFmt numFmtId="181" formatCode="#,##0.00%;[Red]\-#,##0.00%"/>
    <numFmt numFmtId="182" formatCode="###,###,##0.000"/>
    <numFmt numFmtId="183" formatCode="#,##0.######"/>
    <numFmt numFmtId="184" formatCode="#,##0.00_ "/>
    <numFmt numFmtId="185" formatCode="#,##0.000"/>
    <numFmt numFmtId="186" formatCode="0.00000"/>
    <numFmt numFmtId="187" formatCode="#,##0.0000"/>
    <numFmt numFmtId="188" formatCode="###,###,##0.00000"/>
    <numFmt numFmtId="189" formatCode="0.0000_ "/>
    <numFmt numFmtId="190" formatCode="0.000_);[Red]\(0.000\)"/>
  </numFmts>
  <fonts count="21" x14ac:knownFonts="1">
    <font>
      <sz val="10"/>
      <name val="Arial"/>
      <family val="2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2"/>
      <name val="Arial"/>
      <family val="2"/>
    </font>
    <font>
      <sz val="9"/>
      <name val="宋体"/>
      <family val="2"/>
      <charset val="134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1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name val="Arial"/>
      <family val="2"/>
    </font>
    <font>
      <b/>
      <sz val="14"/>
      <color rgb="FFFF3300"/>
      <name val="宋体"/>
      <family val="3"/>
      <charset val="134"/>
      <scheme val="minor"/>
    </font>
    <font>
      <sz val="16"/>
      <color rgb="FFFF0000"/>
      <name val="Arial"/>
      <family val="2"/>
    </font>
    <font>
      <sz val="14"/>
      <color rgb="FFFF0000"/>
      <name val="Arial"/>
      <family val="2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color rgb="FFFF3300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10"/>
      <color rgb="FF000000"/>
      <name val="Arial"/>
      <family val="2"/>
    </font>
    <font>
      <sz val="11"/>
      <color rgb="FF006100"/>
      <name val="宋体"/>
      <family val="2"/>
      <charset val="134"/>
      <scheme val="minor"/>
    </font>
    <font>
      <b/>
      <sz val="9"/>
      <color indexed="81"/>
      <name val="宋体"/>
      <charset val="134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E4C658"/>
        <bgColor indexed="64"/>
      </patternFill>
    </fill>
  </fills>
  <borders count="7">
    <border>
      <left/>
      <right/>
      <top/>
      <bottom/>
      <diagonal/>
    </border>
    <border>
      <left style="medium">
        <color rgb="FFE4A8A8"/>
      </left>
      <right/>
      <top style="medium">
        <color rgb="FFE4A8A8"/>
      </top>
      <bottom/>
      <diagonal/>
    </border>
    <border>
      <left/>
      <right/>
      <top style="medium">
        <color rgb="FFE4A8A8"/>
      </top>
      <bottom/>
      <diagonal/>
    </border>
    <border>
      <left/>
      <right style="medium">
        <color rgb="FFE4A8A8"/>
      </right>
      <top style="medium">
        <color rgb="FFE4A8A8"/>
      </top>
      <bottom/>
      <diagonal/>
    </border>
    <border>
      <left style="medium">
        <color rgb="FFE4A8A8"/>
      </left>
      <right/>
      <top/>
      <bottom style="medium">
        <color rgb="FFE4A8A8"/>
      </bottom>
      <diagonal/>
    </border>
    <border>
      <left/>
      <right/>
      <top/>
      <bottom style="medium">
        <color rgb="FFE4A8A8"/>
      </bottom>
      <diagonal/>
    </border>
    <border>
      <left/>
      <right style="medium">
        <color rgb="FFE4A8A8"/>
      </right>
      <top/>
      <bottom style="medium">
        <color rgb="FFE4A8A8"/>
      </bottom>
      <diagonal/>
    </border>
  </borders>
  <cellStyleXfs count="3">
    <xf numFmtId="0" fontId="0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</cellStyleXfs>
  <cellXfs count="115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80" fontId="0" fillId="0" borderId="0" xfId="0" applyNumberFormat="1" applyAlignment="1">
      <alignment horizontal="right" vertical="center"/>
    </xf>
    <xf numFmtId="176" fontId="0" fillId="0" borderId="0" xfId="0" applyNumberFormat="1">
      <alignment vertical="center"/>
    </xf>
    <xf numFmtId="49" fontId="0" fillId="0" borderId="0" xfId="0" applyNumberFormat="1" applyAlignment="1">
      <alignment horizontal="right" vertical="center"/>
    </xf>
    <xf numFmtId="2" fontId="0" fillId="0" borderId="0" xfId="0" applyNumberForma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80" fontId="10" fillId="0" borderId="0" xfId="0" applyNumberFormat="1" applyFont="1" applyAlignment="1">
      <alignment horizontal="right" vertical="center"/>
    </xf>
    <xf numFmtId="0" fontId="10" fillId="0" borderId="0" xfId="0" applyFont="1">
      <alignment vertical="center"/>
    </xf>
    <xf numFmtId="180" fontId="10" fillId="0" borderId="0" xfId="0" applyNumberFormat="1" applyFont="1">
      <alignment vertical="center"/>
    </xf>
    <xf numFmtId="176" fontId="10" fillId="0" borderId="0" xfId="0" applyNumberFormat="1" applyFont="1">
      <alignment vertical="center"/>
    </xf>
    <xf numFmtId="3" fontId="10" fillId="0" borderId="0" xfId="0" applyNumberFormat="1" applyFont="1">
      <alignment vertical="center"/>
    </xf>
    <xf numFmtId="3" fontId="9" fillId="0" borderId="0" xfId="0" applyNumberFormat="1" applyFont="1" applyAlignment="1">
      <alignment horizontal="center" vertical="center"/>
    </xf>
    <xf numFmtId="10" fontId="11" fillId="0" borderId="0" xfId="1" applyNumberFormat="1" applyFont="1">
      <alignment vertical="center"/>
    </xf>
    <xf numFmtId="2" fontId="11" fillId="0" borderId="0" xfId="1" applyNumberFormat="1" applyFont="1">
      <alignment vertical="center"/>
    </xf>
    <xf numFmtId="1" fontId="10" fillId="0" borderId="0" xfId="0" applyNumberFormat="1" applyFont="1">
      <alignment vertical="center"/>
    </xf>
    <xf numFmtId="0" fontId="12" fillId="0" borderId="0" xfId="0" applyFont="1">
      <alignment vertical="center"/>
    </xf>
    <xf numFmtId="4" fontId="0" fillId="0" borderId="0" xfId="0" applyNumberFormat="1">
      <alignment vertical="center"/>
    </xf>
    <xf numFmtId="183" fontId="0" fillId="0" borderId="0" xfId="0" applyNumberFormat="1" applyAlignment="1">
      <alignment horizontal="right" vertical="center"/>
    </xf>
    <xf numFmtId="177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NumberFormat="1">
      <alignment vertical="center"/>
    </xf>
    <xf numFmtId="181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184" fontId="10" fillId="0" borderId="0" xfId="0" applyNumberFormat="1" applyFont="1">
      <alignment vertical="center"/>
    </xf>
    <xf numFmtId="40" fontId="10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178" fontId="0" fillId="0" borderId="0" xfId="0" applyNumberFormat="1">
      <alignment vertical="center"/>
    </xf>
    <xf numFmtId="176" fontId="10" fillId="0" borderId="0" xfId="0" applyNumberFormat="1" applyFont="1" applyAlignment="1">
      <alignment horizontal="center" vertical="center"/>
    </xf>
    <xf numFmtId="185" fontId="10" fillId="0" borderId="0" xfId="0" applyNumberFormat="1" applyFont="1">
      <alignment vertical="center"/>
    </xf>
    <xf numFmtId="2" fontId="11" fillId="0" borderId="0" xfId="1" applyNumberFormat="1" applyFont="1" applyFill="1">
      <alignment vertical="center"/>
    </xf>
    <xf numFmtId="178" fontId="14" fillId="0" borderId="0" xfId="0" applyNumberFormat="1" applyFont="1" applyAlignment="1">
      <alignment horizontal="center" vertical="center"/>
    </xf>
    <xf numFmtId="1" fontId="7" fillId="0" borderId="0" xfId="0" applyNumberFormat="1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76" fontId="7" fillId="0" borderId="0" xfId="0" applyNumberFormat="1" applyFont="1">
      <alignment vertical="center"/>
    </xf>
    <xf numFmtId="10" fontId="15" fillId="0" borderId="0" xfId="1" applyNumberFormat="1" applyFont="1" applyFill="1">
      <alignment vertical="center"/>
    </xf>
    <xf numFmtId="3" fontId="7" fillId="0" borderId="0" xfId="0" applyNumberFormat="1" applyFont="1" applyAlignment="1">
      <alignment horizontal="center" vertical="center"/>
    </xf>
    <xf numFmtId="10" fontId="7" fillId="0" borderId="0" xfId="0" applyNumberFormat="1" applyFont="1">
      <alignment vertical="center"/>
    </xf>
    <xf numFmtId="0" fontId="14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3" fontId="7" fillId="0" borderId="0" xfId="0" applyNumberFormat="1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180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right" vertical="center"/>
    </xf>
    <xf numFmtId="49" fontId="8" fillId="2" borderId="0" xfId="0" applyNumberFormat="1" applyFont="1" applyFill="1" applyAlignment="1">
      <alignment horizontal="right" vertical="center"/>
    </xf>
    <xf numFmtId="183" fontId="8" fillId="2" borderId="0" xfId="0" applyNumberFormat="1" applyFont="1" applyFill="1" applyAlignment="1">
      <alignment horizontal="right" vertical="center"/>
    </xf>
    <xf numFmtId="180" fontId="8" fillId="2" borderId="0" xfId="0" applyNumberFormat="1" applyFont="1" applyFill="1" applyAlignment="1">
      <alignment horizontal="right" vertical="center"/>
    </xf>
    <xf numFmtId="177" fontId="8" fillId="0" borderId="0" xfId="0" applyNumberFormat="1" applyFont="1">
      <alignment vertical="center"/>
    </xf>
    <xf numFmtId="1" fontId="8" fillId="0" borderId="0" xfId="0" applyNumberFormat="1" applyFont="1">
      <alignment vertical="center"/>
    </xf>
    <xf numFmtId="3" fontId="0" fillId="0" borderId="0" xfId="0" applyNumberFormat="1" applyAlignment="1">
      <alignment horizontal="right" vertical="center"/>
    </xf>
    <xf numFmtId="3" fontId="8" fillId="2" borderId="0" xfId="0" applyNumberFormat="1" applyFont="1" applyFill="1" applyAlignment="1">
      <alignment horizontal="right" vertical="center"/>
    </xf>
    <xf numFmtId="2" fontId="8" fillId="0" borderId="0" xfId="0" applyNumberFormat="1" applyFont="1">
      <alignment vertical="center"/>
    </xf>
    <xf numFmtId="176" fontId="13" fillId="0" borderId="0" xfId="0" applyNumberFormat="1" applyFont="1">
      <alignment vertical="center"/>
    </xf>
    <xf numFmtId="180" fontId="0" fillId="2" borderId="0" xfId="0" applyNumberFormat="1" applyFill="1" applyAlignment="1">
      <alignment horizontal="right" vertical="center"/>
    </xf>
    <xf numFmtId="49" fontId="0" fillId="2" borderId="0" xfId="0" applyNumberFormat="1" applyFill="1" applyAlignment="1">
      <alignment horizontal="right" vertical="center"/>
    </xf>
    <xf numFmtId="3" fontId="0" fillId="2" borderId="0" xfId="0" applyNumberFormat="1" applyFill="1" applyAlignment="1">
      <alignment horizontal="right" vertical="center"/>
    </xf>
    <xf numFmtId="183" fontId="0" fillId="2" borderId="0" xfId="0" applyNumberFormat="1" applyFill="1" applyAlignment="1">
      <alignment horizontal="right" vertical="center"/>
    </xf>
    <xf numFmtId="3" fontId="11" fillId="0" borderId="0" xfId="1" applyNumberFormat="1" applyFont="1" applyFill="1">
      <alignment vertical="center"/>
    </xf>
    <xf numFmtId="2" fontId="7" fillId="0" borderId="0" xfId="0" applyNumberFormat="1" applyFont="1">
      <alignment vertical="center"/>
    </xf>
    <xf numFmtId="4" fontId="10" fillId="0" borderId="0" xfId="0" applyNumberFormat="1" applyFont="1">
      <alignment vertical="center"/>
    </xf>
    <xf numFmtId="10" fontId="16" fillId="0" borderId="0" xfId="1" applyNumberFormat="1" applyFont="1" applyFill="1">
      <alignment vertical="center"/>
    </xf>
    <xf numFmtId="0" fontId="7" fillId="0" borderId="0" xfId="0" applyFont="1" applyAlignment="1">
      <alignment horizontal="center" vertical="center" wrapText="1"/>
    </xf>
    <xf numFmtId="186" fontId="8" fillId="0" borderId="0" xfId="0" applyNumberFormat="1" applyFont="1">
      <alignment vertical="center"/>
    </xf>
    <xf numFmtId="0" fontId="8" fillId="5" borderId="0" xfId="0" applyFont="1" applyFill="1">
      <alignment vertical="center"/>
    </xf>
    <xf numFmtId="0" fontId="8" fillId="5" borderId="0" xfId="0" applyFont="1" applyFill="1" applyAlignment="1">
      <alignment horizontal="right" vertical="center"/>
    </xf>
    <xf numFmtId="0" fontId="8" fillId="5" borderId="0" xfId="0" applyFont="1" applyFill="1" applyAlignment="1">
      <alignment horizontal="center" vertical="center"/>
    </xf>
    <xf numFmtId="0" fontId="8" fillId="5" borderId="0" xfId="0" applyFont="1" applyFill="1" applyAlignment="1">
      <alignment vertical="center" wrapText="1"/>
    </xf>
    <xf numFmtId="0" fontId="2" fillId="5" borderId="0" xfId="0" applyFont="1" applyFill="1">
      <alignment vertical="center"/>
    </xf>
    <xf numFmtId="0" fontId="0" fillId="5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right" vertical="center" wrapText="1"/>
    </xf>
    <xf numFmtId="0" fontId="0" fillId="5" borderId="0" xfId="0" applyFill="1" applyAlignment="1">
      <alignment vertical="center" wrapText="1"/>
    </xf>
    <xf numFmtId="4" fontId="0" fillId="5" borderId="0" xfId="0" applyNumberFormat="1" applyFill="1">
      <alignment vertical="center"/>
    </xf>
    <xf numFmtId="2" fontId="0" fillId="5" borderId="0" xfId="0" applyNumberFormat="1" applyFill="1" applyAlignment="1">
      <alignment vertical="center" wrapText="1"/>
    </xf>
    <xf numFmtId="10" fontId="7" fillId="0" borderId="0" xfId="1" applyNumberFormat="1" applyFont="1" applyFill="1">
      <alignment vertical="center"/>
    </xf>
    <xf numFmtId="2" fontId="7" fillId="0" borderId="0" xfId="0" applyNumberFormat="1" applyFont="1" applyAlignment="1">
      <alignment horizontal="center" vertical="center"/>
    </xf>
    <xf numFmtId="182" fontId="7" fillId="4" borderId="0" xfId="0" applyNumberFormat="1" applyFont="1" applyFill="1" applyAlignment="1">
      <alignment horizontal="center" vertical="center"/>
    </xf>
    <xf numFmtId="10" fontId="16" fillId="4" borderId="0" xfId="1" applyNumberFormat="1" applyFont="1" applyFill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82" fontId="7" fillId="3" borderId="0" xfId="0" applyNumberFormat="1" applyFont="1" applyFill="1" applyAlignment="1">
      <alignment horizontal="center" vertical="center"/>
    </xf>
    <xf numFmtId="10" fontId="14" fillId="3" borderId="0" xfId="1" applyNumberFormat="1" applyFont="1" applyFill="1" applyAlignment="1">
      <alignment horizontal="center" vertical="center"/>
    </xf>
    <xf numFmtId="0" fontId="9" fillId="0" borderId="0" xfId="0" applyFont="1">
      <alignment vertical="center"/>
    </xf>
    <xf numFmtId="0" fontId="8" fillId="0" borderId="0" xfId="0" applyFont="1" applyAlignment="1">
      <alignment vertical="center" wrapText="1"/>
    </xf>
    <xf numFmtId="18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8" fillId="0" borderId="0" xfId="0" applyNumberFormat="1" applyFont="1">
      <alignment vertical="center"/>
    </xf>
    <xf numFmtId="0" fontId="8" fillId="0" borderId="0" xfId="0" applyFont="1" applyAlignment="1">
      <alignment horizontal="right" vertical="center"/>
    </xf>
    <xf numFmtId="177" fontId="8" fillId="0" borderId="0" xfId="0" applyNumberFormat="1" applyFont="1" applyAlignment="1">
      <alignment horizontal="right" vertical="center"/>
    </xf>
    <xf numFmtId="183" fontId="8" fillId="0" borderId="0" xfId="0" applyNumberFormat="1" applyFont="1">
      <alignment vertical="center"/>
    </xf>
    <xf numFmtId="187" fontId="8" fillId="0" borderId="0" xfId="0" applyNumberFormat="1" applyFont="1" applyAlignment="1">
      <alignment horizontal="right" vertical="center"/>
    </xf>
    <xf numFmtId="187" fontId="8" fillId="0" borderId="0" xfId="0" applyNumberFormat="1" applyFont="1" applyAlignment="1">
      <alignment horizontal="center" vertical="center"/>
    </xf>
    <xf numFmtId="188" fontId="8" fillId="0" borderId="0" xfId="0" applyNumberFormat="1" applyFont="1">
      <alignment vertical="center"/>
    </xf>
    <xf numFmtId="49" fontId="18" fillId="6" borderId="0" xfId="0" applyNumberFormat="1" applyFont="1" applyFill="1" applyAlignment="1">
      <alignment horizontal="right" vertical="center"/>
    </xf>
    <xf numFmtId="188" fontId="0" fillId="0" borderId="0" xfId="0" applyNumberFormat="1">
      <alignment vertical="center"/>
    </xf>
    <xf numFmtId="49" fontId="8" fillId="8" borderId="0" xfId="0" applyNumberFormat="1" applyFont="1" applyFill="1" applyAlignment="1">
      <alignment horizontal="right" vertical="center"/>
    </xf>
    <xf numFmtId="177" fontId="8" fillId="8" borderId="0" xfId="0" applyNumberFormat="1" applyFont="1" applyFill="1" applyAlignment="1">
      <alignment horizontal="right" vertical="center"/>
    </xf>
    <xf numFmtId="0" fontId="8" fillId="8" borderId="0" xfId="0" applyFont="1" applyFill="1">
      <alignment vertical="center"/>
    </xf>
    <xf numFmtId="0" fontId="8" fillId="8" borderId="0" xfId="0" applyFont="1" applyFill="1" applyAlignment="1">
      <alignment horizontal="center" vertical="center"/>
    </xf>
    <xf numFmtId="4" fontId="8" fillId="8" borderId="0" xfId="0" applyNumberFormat="1" applyFont="1" applyFill="1">
      <alignment vertical="center"/>
    </xf>
    <xf numFmtId="0" fontId="19" fillId="7" borderId="0" xfId="2" applyAlignment="1">
      <alignment horizontal="center" vertical="center"/>
    </xf>
    <xf numFmtId="0" fontId="19" fillId="7" borderId="1" xfId="2" applyBorder="1" applyAlignment="1">
      <alignment horizontal="center" vertical="center"/>
    </xf>
    <xf numFmtId="0" fontId="19" fillId="7" borderId="2" xfId="2" applyBorder="1" applyAlignment="1">
      <alignment horizontal="center" vertical="center"/>
    </xf>
    <xf numFmtId="0" fontId="19" fillId="7" borderId="3" xfId="2" applyBorder="1" applyAlignment="1">
      <alignment horizontal="center" vertical="center"/>
    </xf>
    <xf numFmtId="189" fontId="19" fillId="7" borderId="4" xfId="2" applyNumberFormat="1" applyBorder="1" applyAlignment="1">
      <alignment horizontal="center" vertical="center"/>
    </xf>
    <xf numFmtId="190" fontId="19" fillId="7" borderId="5" xfId="2" applyNumberFormat="1" applyBorder="1" applyAlignment="1">
      <alignment horizontal="center" vertical="center"/>
    </xf>
    <xf numFmtId="190" fontId="19" fillId="7" borderId="0" xfId="2" applyNumberFormat="1" applyAlignment="1">
      <alignment horizontal="center" vertical="center"/>
    </xf>
    <xf numFmtId="10" fontId="19" fillId="7" borderId="6" xfId="2" applyNumberFormat="1" applyBorder="1" applyAlignment="1">
      <alignment horizontal="center" vertical="center"/>
    </xf>
  </cellXfs>
  <cellStyles count="3">
    <cellStyle name="百分比" xfId="1" builtinId="5"/>
    <cellStyle name="常规" xfId="0" builtinId="0"/>
    <cellStyle name="好" xfId="2" builtinId="26"/>
  </cellStyles>
  <dxfs count="0"/>
  <tableStyles count="0" defaultTableStyle="TableStyleMedium9" defaultPivotStyle="PivotStyleLight16"/>
  <colors>
    <mruColors>
      <color rgb="FFFFFFCC"/>
      <color rgb="FFFFFF66"/>
      <color rgb="FFCCFFFF"/>
      <color rgb="FF66CCFF"/>
      <color rgb="FFFFCC00"/>
      <color rgb="FFFFFF00"/>
      <color rgb="FFFF3300"/>
      <color rgb="FFCC00FF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7.96</v>
        <stp/>
        <stp>YMM.N</stp>
        <stp>rt_last</stp>
        <stp>RT_Price</stp>
        <tr r="V37" s="6"/>
      </tp>
      <tp>
        <v>134.24</v>
        <stp/>
        <stp>PDD.O</stp>
        <stp>rt_last</stp>
        <stp>RT_Price</stp>
        <tr r="V31" s="6"/>
      </tp>
      <tp>
        <v>10.89</v>
        <stp/>
        <stp>TAL.N</stp>
        <stp>rt_last</stp>
        <stp>RT_Price</stp>
        <tr r="V33" s="6"/>
      </tp>
      <tp>
        <v>14.89</v>
        <stp/>
        <stp>TME.N</stp>
        <stp>rt_last</stp>
        <stp>RT_Price</stp>
        <tr r="V34" s="6"/>
        <tr r="AR30" s="6"/>
      </tp>
      <tp>
        <v>0.93180000000000007</v>
        <stp/>
        <stp>HKDCNY.IB</stp>
        <stp>Rt_Price</stp>
        <tr r="C2" s="26"/>
      </tp>
      <tp>
        <v>7.2745000000000006</v>
        <stp/>
        <stp>USDCNY.IB</stp>
        <stp>Rt_Price</stp>
        <tr r="B2" s="26"/>
      </tp>
      <tp>
        <v>1.4730000000000001</v>
        <stp/>
        <stp>513100.SH</stp>
        <stp>Ask_Price1</stp>
        <tr r="B7" s="26"/>
      </tp>
      <tp>
        <v>1.0389999999999999</v>
        <stp/>
        <stp>513050.SH</stp>
        <stp>Ask_Price1</stp>
        <tr r="B5" s="26"/>
      </tp>
      <tp>
        <v>1.472</v>
        <stp/>
        <stp>513100.SH</stp>
        <stp>Bid_Price1</stp>
        <tr r="B8" s="26"/>
      </tp>
      <tp>
        <v>1.038</v>
        <stp/>
        <stp>513050.SH</stp>
        <stp>Bid_Price1</stp>
        <tr r="B6" s="26"/>
      </tp>
      <tp>
        <v>7.8069049999999995</v>
        <stp/>
        <stp>USDHKD.IB</stp>
        <stp>rt_last</stp>
        <stp>RT_Price</stp>
        <tr r="AG7" s="6"/>
      </tp>
      <tp>
        <v>0.93180000000000007</v>
        <stp/>
        <stp>HKDCNY.IB</stp>
        <stp>rt_last</stp>
        <stp>RT_Price</stp>
        <tr r="AE7" s="6"/>
      </tp>
      <tp>
        <v>7.2745000000000006</v>
        <stp/>
        <stp>USDCNY.IB</stp>
        <stp>rt_last</stp>
        <stp>RT_Price</stp>
        <tr r="AF7" s="6"/>
      </tp>
      <tp>
        <v>2.89</v>
        <stp/>
        <stp>LU.N</stp>
        <stp>rt_last</stp>
        <stp>RT_Price</stp>
        <tr r="V30" s="6"/>
      </tp>
      <tp>
        <v>16.05</v>
        <stp/>
        <stp>BZ.O</stp>
        <stp>rt_last</stp>
        <stp>RT_Price</stp>
        <tr r="V28" s="6"/>
      </tp>
      <tp>
        <v>26.85</v>
        <stp/>
        <stp>JD.O</stp>
        <stp>rt_last</stp>
        <stp>RT_Price</stp>
        <tr r="AV30" s="6"/>
      </tp>
      <tp>
        <v>3.38</v>
        <stp/>
        <stp>IQ.O</stp>
        <stp>rt_last</stp>
        <stp>RT_Price</stp>
        <tr r="V29" s="6"/>
      </tp>
      <tp>
        <v>7.95</v>
        <stp/>
        <stp>WB.O</stp>
        <stp>rt_last</stp>
        <stp>RT_Price</stp>
        <tr r="AS30" s="6"/>
        <tr r="V36" s="6"/>
      </tp>
      <tp>
        <v>34.4</v>
        <stp/>
        <stp>YY.O</stp>
        <stp>rt_last</stp>
        <stp>RT_Price</stp>
        <tr r="V38" s="6"/>
      </tp>
      <tp>
        <v>1.038</v>
        <stp/>
        <stp>513050.SH</stp>
        <stp>rt_bid1</stp>
        <stp>RT_Price</stp>
        <tr r="AB11" s="6"/>
      </tp>
      <tp>
        <v>24.98</v>
        <stp/>
        <stp>ATHM.N</stp>
        <stp>rt_last</stp>
        <stp>RT_Price</stp>
        <tr r="AN30" s="6"/>
        <tr r="V26" s="6"/>
      </tp>
      <tp>
        <v>15.35</v>
        <stp/>
        <stp>BILI.O</stp>
        <stp>rt_last</stp>
        <stp>RT_Price</stp>
        <tr r="AP30" s="6"/>
      </tp>
      <tp>
        <v>92.27</v>
        <stp/>
        <stp>BIDU.O</stp>
        <stp>rt_last</stp>
        <stp>RT_Price</stp>
        <tr r="AU30" s="6"/>
      </tp>
      <tp>
        <v>14.32</v>
        <stp/>
        <stp>BEKE.N</stp>
        <stp>rt_last</stp>
        <stp>RT_Price</stp>
        <tr r="AO30" s="6"/>
        <tr r="V27" s="6"/>
      </tp>
      <tp>
        <v>76.64</v>
        <stp/>
        <stp>BABA.N</stp>
        <stp>rt_last</stp>
        <stp>RT_Price</stp>
        <tr r="AQ3" s="6"/>
        <tr r="AT30" s="6"/>
      </tp>
      <tp>
        <v>93.48</v>
        <stp/>
        <stp>NTES.O</stp>
        <stp>rt_last</stp>
        <stp>RT_Price</stp>
        <tr r="AW30" s="6"/>
      </tp>
      <tp>
        <v>1.0389999999999999</v>
        <stp/>
        <stp>513050.SH</stp>
        <stp>rt_ask1</stp>
        <stp>RT_Price</stp>
        <tr r="AB12" s="6"/>
      </tp>
      <tp>
        <v>48.35</v>
        <stp/>
        <stp>2518.HK</stp>
        <stp>rt_last</stp>
        <stp>RT_Price</stp>
        <tr r="AN28" s="6"/>
      </tp>
      <tp>
        <v>36.950000000000003</v>
        <stp/>
        <stp>2423.HK</stp>
        <stp>rt_last</stp>
        <stp>RT_Price</stp>
        <tr r="AO28" s="6"/>
      </tp>
      <tp>
        <v>13.89</v>
        <stp/>
        <stp>VIPS.N</stp>
        <stp>rt_last</stp>
        <stp>RT_Price</stp>
        <tr r="V35" s="6"/>
      </tp>
      <tp>
        <v>25.7</v>
        <stp/>
        <stp>0772.HK</stp>
        <stp>rt_last</stp>
        <stp>RT_Price</stp>
        <tr r="V8" s="6"/>
      </tp>
      <tp>
        <v>366.6</v>
        <stp/>
        <stp>0700.HK</stp>
        <stp>rt_last</stp>
        <stp>RT_Price</stp>
        <tr r="V7" s="6"/>
      </tp>
      <tp>
        <v>11.56</v>
        <stp/>
        <stp>1797.HK</stp>
        <stp>rt_last</stp>
        <stp>RT_Price</stp>
        <tr r="V11" s="6"/>
      </tp>
      <tp>
        <v>13.72</v>
        <stp/>
        <stp>0780.HK</stp>
        <stp>rt_last</stp>
        <stp>RT_Price</stp>
        <tr r="V9" s="6"/>
      </tp>
      <tp>
        <v>76.05</v>
        <stp/>
        <stp>3660.HK</stp>
        <stp>rt_last</stp>
        <stp>RT_Price</stp>
        <tr r="AQ28" s="6"/>
      </tp>
      <tp>
        <v>102.3</v>
        <stp/>
        <stp>9618.HK</stp>
        <stp>rt_last</stp>
        <stp>RT_Price</stp>
        <tr r="AV28" s="6"/>
        <tr r="V18" s="6"/>
      </tp>
      <tp>
        <v>20.7</v>
        <stp/>
        <stp>6618.HK</stp>
        <stp>rt_last</stp>
        <stp>RT_Price</stp>
        <tr r="V17" s="6"/>
      </tp>
      <tp>
        <v>117.10000000000001</v>
        <stp/>
        <stp>9626.HK</stp>
        <stp>rt_last</stp>
        <stp>RT_Price</stp>
        <tr r="AP28" s="6"/>
        <tr r="V19" s="6"/>
      </tp>
      <tp>
        <v>118</v>
        <stp/>
        <stp>3690.HK</stp>
        <stp>rt_last</stp>
        <stp>RT_Price</stp>
        <tr r="V14" s="6"/>
      </tp>
      <tp>
        <v>56.95</v>
        <stp/>
        <stp>1698.HK</stp>
        <stp>rt_last</stp>
        <stp>RT_Price</stp>
        <tr r="AR28" s="6"/>
      </tp>
      <tp>
        <v>19.43</v>
        <stp/>
        <stp>QFIN.O</stp>
        <stp>rt_last</stp>
        <stp>RT_Price</stp>
        <tr r="AQ30" s="6"/>
        <tr r="V32" s="6"/>
      </tp>
      <tp>
        <v>12.56</v>
        <stp/>
        <stp>6060.HK</stp>
        <stp>rt_last</stp>
        <stp>RT_Price</stp>
        <tr r="V16" s="6"/>
      </tp>
      <tp>
        <v>44.6</v>
        <stp/>
        <stp>1024.HK</stp>
        <stp>rt_last</stp>
        <stp>RT_Price</stp>
        <tr r="V10" s="6"/>
      </tp>
      <tp>
        <v>1.0389999999999999</v>
        <stp/>
        <stp>513050.SH</stp>
        <stp>rt_last</stp>
        <stp>RT_Price</stp>
        <tr r="AB10" s="6"/>
      </tp>
      <tp>
        <v>3.23</v>
        <stp/>
        <stp>0241.HK</stp>
        <stp>rt_last</stp>
        <stp>RT_Price</stp>
        <tr r="V6" s="6"/>
      </tp>
      <tp>
        <v>361</v>
        <stp/>
        <stp>9961.HK</stp>
        <stp>rt_last</stp>
        <stp>RT_Price</stp>
        <tr r="V23" s="6"/>
      </tp>
      <tp>
        <v>142.5</v>
        <stp/>
        <stp>9999.HK</stp>
        <stp>rt_last</stp>
        <stp>RT_Price</stp>
        <tr r="AW28" s="6"/>
        <tr r="V25" s="6"/>
      </tp>
      <tp>
        <v>74.150000000000006</v>
        <stp/>
        <stp>9988.HK</stp>
        <stp>rt_last</stp>
        <stp>RT_Price</stp>
        <tr r="AT28" s="6"/>
        <tr r="V24" s="6"/>
        <tr r="AO4" s="6"/>
      </tp>
      <tp>
        <v>16.899999999999999</v>
        <stp/>
        <stp>1810.HK</stp>
        <stp>rt_last</stp>
        <stp>RT_Price</stp>
        <tr r="V12" s="6"/>
      </tp>
      <tp>
        <v>11.16</v>
        <stp/>
        <stp>1833.HK</stp>
        <stp>rt_last</stp>
        <stp>RT_Price</stp>
        <tr r="V13" s="6"/>
      </tp>
      <tp>
        <v>12.06</v>
        <stp/>
        <stp>9890.HK</stp>
        <stp>rt_last</stp>
        <stp>RT_Price</stp>
        <tr r="V22" s="6"/>
      </tp>
      <tp>
        <v>61.6</v>
        <stp/>
        <stp>9898.HK</stp>
        <stp>rt_last</stp>
        <stp>RT_Price</stp>
        <tr r="AS28" s="6"/>
      </tp>
      <tp>
        <v>8</v>
        <stp/>
        <stp>9885.HK</stp>
        <stp>rt_last</stp>
        <stp>RT_Price</stp>
        <tr r="V20" s="6"/>
      </tp>
      <tp>
        <v>88.100000000000009</v>
        <stp/>
        <stp>9888.HK</stp>
        <stp>rt_last</stp>
        <stp>RT_Price</stp>
        <tr r="AU28" s="6"/>
        <tr r="V21" s="6"/>
      </tp>
      <tp>
        <v>21.85</v>
        <stp/>
        <stp>3888.HK</stp>
        <stp>rt_last</stp>
        <stp>RT_Price</stp>
        <tr r="V15" s="6"/>
      </tp>
      <tp>
        <v>-2.72</v>
        <stp/>
        <stp>3690.HK</stp>
        <stp>PctChg</stp>
        <tr r="G3" s="26"/>
      </tp>
      <tp>
        <v>-1.77</v>
        <stp/>
        <stp>0700.HK</stp>
        <stp>PctChg</stp>
        <tr r="G2" s="26"/>
      </tp>
      <tp>
        <v>-1.86</v>
        <stp/>
        <stp>1810.HK</stp>
        <stp>PctChg</stp>
        <tr r="G4" s="2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ind\Wind.NET.Client\WindNET\DataBrowse\XLA\WindFunc.xla" TargetMode="External"/><Relationship Id="rId1" Type="http://schemas.openxmlformats.org/officeDocument/2006/relationships/externalLinkPath" Target="/Wind/Wind.NET.Client/WindNET/DataBrowse/XLA/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</sheetNames>
    <definedNames>
      <definedName name="s_dq_close"/>
      <definedName name="s_dq_high"/>
      <definedName name="s_info_name"/>
      <definedName name="WSD"/>
      <definedName name="wset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/>
  <dimension ref="A1:P29"/>
  <sheetViews>
    <sheetView workbookViewId="0">
      <selection activeCell="C27" sqref="C27"/>
    </sheetView>
  </sheetViews>
  <sheetFormatPr defaultColWidth="9.140625" defaultRowHeight="13.5" x14ac:dyDescent="0.2"/>
  <cols>
    <col min="1" max="1" width="15.42578125" style="36" customWidth="1"/>
    <col min="2" max="3" width="12.28515625" style="36" bestFit="1" customWidth="1"/>
    <col min="4" max="4" width="13" style="36" customWidth="1"/>
    <col min="5" max="5" width="12.7109375" style="36" bestFit="1" customWidth="1"/>
    <col min="6" max="6" width="10.28515625" style="36" bestFit="1" customWidth="1"/>
    <col min="7" max="7" width="12" style="36" bestFit="1" customWidth="1"/>
    <col min="8" max="8" width="13.28515625" style="36" hidden="1" customWidth="1"/>
    <col min="9" max="9" width="10.7109375" style="36" hidden="1" customWidth="1"/>
    <col min="10" max="10" width="11.5703125" style="36" hidden="1" customWidth="1"/>
    <col min="11" max="11" width="11.5703125" style="36" bestFit="1" customWidth="1"/>
    <col min="12" max="16384" width="9.140625" style="36"/>
  </cols>
  <sheetData>
    <row r="1" spans="1:11" ht="15" customHeight="1" x14ac:dyDescent="0.2">
      <c r="A1" s="38"/>
      <c r="B1" s="41" t="s">
        <v>145</v>
      </c>
      <c r="C1" s="41" t="s">
        <v>146</v>
      </c>
      <c r="F1" s="37"/>
      <c r="G1" s="37" t="s">
        <v>311</v>
      </c>
      <c r="K1" s="35"/>
    </row>
    <row r="2" spans="1:11" ht="24" customHeight="1" x14ac:dyDescent="0.2">
      <c r="A2" s="69" t="s">
        <v>307</v>
      </c>
      <c r="B2" s="39">
        <f>RTD("wdf.rtq",,"USDCNY.IB","Rt_Price")</f>
        <v>7.2745000000000006</v>
      </c>
      <c r="C2" s="39">
        <f>RTD("wdf.rtq",,"HKDCNY.IB","Rt_Price")</f>
        <v>0.93180000000000007</v>
      </c>
      <c r="F2" s="34" t="s">
        <v>155</v>
      </c>
      <c r="G2" s="82">
        <f>RTD("wdf.rtq",,"0700.HK","PctChg")/100-0</f>
        <v>-1.77E-2</v>
      </c>
      <c r="H2" s="36">
        <v>5000000</v>
      </c>
      <c r="J2" s="42" t="e">
        <f>SUM(J3:J9)</f>
        <v>#REF!</v>
      </c>
      <c r="K2" s="37"/>
    </row>
    <row r="3" spans="1:11" ht="15" customHeight="1" x14ac:dyDescent="0.2">
      <c r="E3" s="66"/>
      <c r="F3" s="34" t="s">
        <v>156</v>
      </c>
      <c r="G3" s="82">
        <f>RTD("wdf.rtq",,"3690.HK","PctChg")/100-0</f>
        <v>-2.7200000000000002E-2</v>
      </c>
      <c r="H3" s="35" t="e">
        <f>B5*H2/C2*J3/中概互联实时折溢价!#REF!</f>
        <v>#REF!</v>
      </c>
      <c r="I3" s="35" t="e">
        <f t="shared" ref="I3:I9" si="0">H3*2</f>
        <v>#REF!</v>
      </c>
      <c r="J3" s="42" t="e">
        <f>中概互联实时折溢价!#REF!</f>
        <v>#REF!</v>
      </c>
      <c r="K3" s="40"/>
    </row>
    <row r="4" spans="1:11" ht="15" customHeight="1" x14ac:dyDescent="0.2">
      <c r="A4" s="37" t="s">
        <v>140</v>
      </c>
      <c r="B4" s="37" t="s">
        <v>143</v>
      </c>
      <c r="C4" s="37" t="s">
        <v>142</v>
      </c>
      <c r="D4" s="83" t="s">
        <v>310</v>
      </c>
      <c r="E4" s="66"/>
      <c r="F4" s="34" t="s">
        <v>175</v>
      </c>
      <c r="G4" s="82">
        <f>RTD("wdf.rtq",,"1810.HK","PctChg")/100-0</f>
        <v>-1.8600000000000002E-2</v>
      </c>
      <c r="H4" s="35" t="e">
        <f>B5*H2/C2*J4/中概互联实时折溢价!#REF!</f>
        <v>#REF!</v>
      </c>
      <c r="I4" s="35" t="e">
        <f t="shared" si="0"/>
        <v>#REF!</v>
      </c>
      <c r="J4" s="42" t="e">
        <f>中概互联实时折溢价!#REF!</f>
        <v>#REF!</v>
      </c>
      <c r="K4" s="40"/>
    </row>
    <row r="5" spans="1:11" ht="15" customHeight="1" x14ac:dyDescent="0.2">
      <c r="A5" s="43" t="s">
        <v>134</v>
      </c>
      <c r="B5" s="84">
        <f>RTD("wdf.rtq",,A5,"Ask_Price1")-0</f>
        <v>1.0389999999999999</v>
      </c>
      <c r="C5" s="85" t="e">
        <f>中概互联实时折溢价!#REF!</f>
        <v>#REF!</v>
      </c>
      <c r="D5" s="83"/>
      <c r="E5" s="39"/>
      <c r="G5" s="37" t="s">
        <v>312</v>
      </c>
      <c r="H5" s="35" t="e">
        <f>B5*H2/C2*J5/中概互联实时折溢价!#REF!</f>
        <v>#REF!</v>
      </c>
      <c r="I5" s="35" t="e">
        <f t="shared" si="0"/>
        <v>#REF!</v>
      </c>
      <c r="J5" s="42" t="e">
        <f>中概互联实时折溢价!#REF!</f>
        <v>#REF!</v>
      </c>
      <c r="K5" s="40"/>
    </row>
    <row r="6" spans="1:11" ht="15" customHeight="1" x14ac:dyDescent="0.2">
      <c r="A6" s="44" t="s">
        <v>141</v>
      </c>
      <c r="B6" s="84">
        <f>RTD("wdf.rtq",,A5,"Bid_Price1")-0</f>
        <v>1.038</v>
      </c>
      <c r="C6" s="85" t="e">
        <f>中概互联实时折溢价!#REF!</f>
        <v>#REF!</v>
      </c>
      <c r="D6" s="86" t="e">
        <f>中概互联实时折溢价!#REF!</f>
        <v>#REF!</v>
      </c>
      <c r="F6" s="34" t="s">
        <v>168</v>
      </c>
      <c r="G6" s="82" t="e">
        <f>中概互联实时折溢价!#REF!</f>
        <v>#REF!</v>
      </c>
      <c r="H6" s="35" t="e">
        <f>B5*H2/C2*J6/中概互联实时折溢价!#REF!</f>
        <v>#REF!</v>
      </c>
      <c r="I6" s="35" t="e">
        <f t="shared" si="0"/>
        <v>#REF!</v>
      </c>
      <c r="J6" s="42" t="e">
        <f>中概互联实时折溢价!#REF!</f>
        <v>#REF!</v>
      </c>
      <c r="K6" s="40"/>
    </row>
    <row r="7" spans="1:11" ht="15" customHeight="1" x14ac:dyDescent="0.2">
      <c r="A7" s="45" t="s">
        <v>144</v>
      </c>
      <c r="B7" s="87">
        <f>RTD("wdf.rtq",,A7,"Ask_Price1")</f>
        <v>1.4730000000000001</v>
      </c>
      <c r="C7" s="88" t="e">
        <f>纳指ETF折溢价!#REF!+0</f>
        <v>#REF!</v>
      </c>
      <c r="D7" s="83"/>
      <c r="E7" s="68"/>
      <c r="F7" s="34" t="s">
        <v>169</v>
      </c>
      <c r="G7" s="82" t="e">
        <f>中概互联实时折溢价!#REF!</f>
        <v>#REF!</v>
      </c>
      <c r="H7" s="35" t="e">
        <f>B5*H2/C2*J7/中概互联实时折溢价!#REF!</f>
        <v>#REF!</v>
      </c>
      <c r="I7" s="35" t="e">
        <f t="shared" si="0"/>
        <v>#REF!</v>
      </c>
      <c r="J7" s="42" t="e">
        <f>中概互联实时折溢价!#REF!</f>
        <v>#REF!</v>
      </c>
      <c r="K7" s="35"/>
    </row>
    <row r="8" spans="1:11" ht="15" customHeight="1" x14ac:dyDescent="0.2">
      <c r="A8" s="46" t="s">
        <v>161</v>
      </c>
      <c r="B8" s="87">
        <f>RTD("wdf.rtq",,A7,"Bid_Price1")</f>
        <v>1.472</v>
      </c>
      <c r="C8" s="88" t="e">
        <f>纳指ETF折溢价!#REF!</f>
        <v>#REF!</v>
      </c>
      <c r="D8" s="86" t="e">
        <f>纳指ETF折溢价!#REF!</f>
        <v>#REF!</v>
      </c>
      <c r="E8" s="68"/>
      <c r="F8" s="34" t="s">
        <v>191</v>
      </c>
      <c r="G8" s="82" t="e">
        <f>中概互联实时折溢价!#REF!</f>
        <v>#REF!</v>
      </c>
      <c r="H8" s="35" t="e">
        <f>B5*H2/C2*J8/中概互联实时折溢价!#REF!</f>
        <v>#REF!</v>
      </c>
      <c r="I8" s="35" t="e">
        <f t="shared" si="0"/>
        <v>#REF!</v>
      </c>
      <c r="J8" s="42" t="e">
        <f>中概互联实时折溢价!#REF!</f>
        <v>#REF!</v>
      </c>
      <c r="K8" s="35"/>
    </row>
    <row r="9" spans="1:11" ht="15" customHeight="1" x14ac:dyDescent="0.2">
      <c r="F9" s="34" t="s">
        <v>160</v>
      </c>
      <c r="G9" s="82" t="e">
        <f>中概互联实时折溢价!#REF!</f>
        <v>#REF!</v>
      </c>
      <c r="H9" s="35" t="e">
        <f>B5*H2/C2*J9/中概互联实时折溢价!#REF!</f>
        <v>#REF!</v>
      </c>
      <c r="I9" s="35" t="e">
        <f t="shared" si="0"/>
        <v>#REF!</v>
      </c>
      <c r="J9" s="42" t="e">
        <f>中概互联实时折溢价!#REF!</f>
        <v>#REF!</v>
      </c>
      <c r="K9" s="35"/>
    </row>
    <row r="10" spans="1:11" ht="15" customHeight="1" x14ac:dyDescent="0.2"/>
    <row r="11" spans="1:11" ht="15" customHeight="1" x14ac:dyDescent="0.2">
      <c r="F11" s="47"/>
    </row>
    <row r="12" spans="1:11" ht="15" customHeight="1" x14ac:dyDescent="0.2"/>
    <row r="13" spans="1:11" ht="15" customHeight="1" x14ac:dyDescent="0.2"/>
    <row r="14" spans="1:11" ht="15" customHeight="1" x14ac:dyDescent="0.2"/>
    <row r="29" spans="16:16" x14ac:dyDescent="0.2">
      <c r="P29" s="36" t="s">
        <v>283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Q26"/>
  <sheetViews>
    <sheetView workbookViewId="0">
      <selection activeCell="E7" sqref="E7"/>
    </sheetView>
  </sheetViews>
  <sheetFormatPr defaultColWidth="9.140625" defaultRowHeight="14.25" x14ac:dyDescent="0.2"/>
  <cols>
    <col min="1" max="1" width="15.42578125" style="10" bestFit="1" customWidth="1"/>
    <col min="2" max="2" width="13.140625" style="10" bestFit="1" customWidth="1"/>
    <col min="3" max="3" width="13.85546875" style="10" bestFit="1" customWidth="1"/>
    <col min="4" max="5" width="11.5703125" style="13" bestFit="1" customWidth="1"/>
    <col min="6" max="6" width="13.140625" style="10" customWidth="1"/>
    <col min="7" max="7" width="12.7109375" style="10" bestFit="1" customWidth="1"/>
    <col min="8" max="8" width="15.7109375" style="10" bestFit="1" customWidth="1"/>
    <col min="9" max="9" width="13.5703125" style="10" customWidth="1"/>
    <col min="10" max="10" width="11.28515625" style="10" customWidth="1"/>
    <col min="11" max="11" width="13.85546875" style="10" bestFit="1" customWidth="1"/>
    <col min="12" max="12" width="11.5703125" style="10" bestFit="1" customWidth="1"/>
    <col min="13" max="13" width="9.140625" style="10"/>
    <col min="14" max="14" width="13.28515625" style="10" bestFit="1" customWidth="1"/>
    <col min="15" max="15" width="10.7109375" style="10" bestFit="1" customWidth="1"/>
    <col min="16" max="19" width="15.7109375" style="10" bestFit="1" customWidth="1"/>
    <col min="20" max="20" width="13.28515625" style="10" bestFit="1" customWidth="1"/>
    <col min="21" max="16384" width="9.140625" style="10"/>
  </cols>
  <sheetData>
    <row r="1" spans="1:11" x14ac:dyDescent="0.2">
      <c r="D1" s="14" t="s">
        <v>306</v>
      </c>
      <c r="E1" s="14" t="s">
        <v>146</v>
      </c>
      <c r="F1" s="7"/>
      <c r="G1" s="7"/>
    </row>
    <row r="2" spans="1:11" s="8" customFormat="1" ht="18.75" x14ac:dyDescent="0.2">
      <c r="A2" s="7" t="s">
        <v>137</v>
      </c>
      <c r="B2" s="11">
        <v>45489</v>
      </c>
      <c r="C2" s="7" t="s">
        <v>147</v>
      </c>
      <c r="D2" s="29">
        <f>监控界面!B2</f>
        <v>7.2745000000000006</v>
      </c>
      <c r="E2" s="29">
        <f>监控界面!C2+0</f>
        <v>0.93180000000000007</v>
      </c>
      <c r="F2" s="13"/>
      <c r="G2" s="13"/>
      <c r="H2" s="65"/>
      <c r="I2" s="7"/>
    </row>
    <row r="3" spans="1:11" ht="18" x14ac:dyDescent="0.2">
      <c r="A3" s="7" t="s">
        <v>138</v>
      </c>
      <c r="B3" s="9">
        <v>45488</v>
      </c>
      <c r="C3" s="7" t="s">
        <v>148</v>
      </c>
      <c r="D3" s="12">
        <f>[1]!s_dq_close("USDCNY.EX",B3,1)</f>
        <v>7.1313000000000004</v>
      </c>
      <c r="E3" s="12">
        <f>[1]!s_dq_close("HKDCNY.EX",B3,1)</f>
        <v>0.91332999999999998</v>
      </c>
      <c r="H3" s="60"/>
    </row>
    <row r="4" spans="1:11" ht="18.75" x14ac:dyDescent="0.2">
      <c r="A4" s="7" t="s">
        <v>139</v>
      </c>
      <c r="B4" s="9">
        <v>45485</v>
      </c>
      <c r="C4" s="7" t="s">
        <v>148</v>
      </c>
      <c r="D4" s="12">
        <f>[1]!s_dq_close("USDCNY.EX",B4,1)</f>
        <v>7.1315</v>
      </c>
      <c r="E4" s="12">
        <f>[1]!s_dq_close("HKDCNY.EX",B4,1)</f>
        <v>0.91339000000000004</v>
      </c>
      <c r="F4" s="13"/>
      <c r="G4" s="13"/>
      <c r="H4" s="15"/>
      <c r="I4" s="12"/>
      <c r="J4" s="17"/>
    </row>
    <row r="5" spans="1:11" x14ac:dyDescent="0.2">
      <c r="A5" s="89" t="s">
        <v>313</v>
      </c>
      <c r="B5" s="11">
        <v>45482</v>
      </c>
      <c r="C5" s="7" t="s">
        <v>148</v>
      </c>
      <c r="D5" s="12">
        <f>[1]!s_dq_close("USDCNY.EX",B5,1)</f>
        <v>7.1310000000000002</v>
      </c>
      <c r="E5" s="12">
        <f>[1]!s_dq_close("HKDCNY.EX",B5,1)</f>
        <v>0.91303999999999996</v>
      </c>
      <c r="F5" s="13"/>
      <c r="G5" s="13"/>
      <c r="H5" s="12"/>
      <c r="I5" s="12"/>
    </row>
    <row r="6" spans="1:11" ht="20.25" x14ac:dyDescent="0.2">
      <c r="A6" s="8"/>
      <c r="B6" s="16"/>
      <c r="C6" s="18"/>
      <c r="D6" s="14"/>
      <c r="E6" s="16"/>
      <c r="F6" s="18"/>
      <c r="G6" s="28"/>
      <c r="H6" s="28"/>
      <c r="I6" s="7"/>
      <c r="K6" s="32"/>
    </row>
    <row r="7" spans="1:11" ht="18.75" x14ac:dyDescent="0.2">
      <c r="A7" s="8"/>
      <c r="C7" s="29"/>
      <c r="D7" s="12"/>
      <c r="F7" s="12"/>
      <c r="H7" s="33"/>
      <c r="I7" s="17"/>
      <c r="J7" s="17"/>
      <c r="K7" s="13"/>
    </row>
    <row r="8" spans="1:11" ht="18.75" x14ac:dyDescent="0.2">
      <c r="A8" s="8"/>
      <c r="C8" s="60"/>
      <c r="D8" s="12"/>
      <c r="H8" s="15"/>
      <c r="I8" s="17"/>
      <c r="J8" s="17"/>
      <c r="K8" s="13"/>
    </row>
    <row r="9" spans="1:11" x14ac:dyDescent="0.2">
      <c r="I9" s="17"/>
    </row>
    <row r="10" spans="1:11" ht="18.75" x14ac:dyDescent="0.2">
      <c r="A10" s="8"/>
      <c r="D10" s="31"/>
      <c r="E10" s="10"/>
      <c r="G10" s="12"/>
      <c r="H10" s="15"/>
      <c r="I10" s="17"/>
      <c r="K10" s="25"/>
    </row>
    <row r="12" spans="1:11" x14ac:dyDescent="0.2">
      <c r="A12" s="21"/>
      <c r="B12" s="22"/>
      <c r="C12" s="21"/>
      <c r="D12" s="2"/>
      <c r="E12" s="23"/>
      <c r="F12" s="23"/>
      <c r="G12" s="23"/>
      <c r="H12" s="26"/>
      <c r="I12" s="1"/>
      <c r="J12" s="1"/>
    </row>
    <row r="13" spans="1:11" x14ac:dyDescent="0.2">
      <c r="A13" s="4"/>
      <c r="B13" s="6"/>
      <c r="C13" s="24"/>
      <c r="D13" s="4"/>
      <c r="E13" s="25"/>
      <c r="F13" s="25"/>
      <c r="G13" s="25"/>
      <c r="H13" s="4"/>
      <c r="I13" s="25"/>
      <c r="J13" s="25"/>
    </row>
    <row r="14" spans="1:11" x14ac:dyDescent="0.2">
      <c r="A14" s="22"/>
    </row>
    <row r="15" spans="1:11" x14ac:dyDescent="0.2">
      <c r="A15" s="30"/>
      <c r="B15" s="30"/>
      <c r="H15" s="27"/>
    </row>
    <row r="19" spans="1:17" x14ac:dyDescent="0.2">
      <c r="I19" s="6"/>
    </row>
    <row r="22" spans="1:17" x14ac:dyDescent="0.2">
      <c r="C22" s="7"/>
      <c r="D22" s="14"/>
      <c r="E22" s="14"/>
    </row>
    <row r="23" spans="1:17" ht="18.75" x14ac:dyDescent="0.2">
      <c r="A23" s="8"/>
      <c r="C23" s="12"/>
      <c r="D23" s="12"/>
      <c r="F23" s="12"/>
      <c r="H23" s="33"/>
      <c r="I23" s="17"/>
      <c r="Q23" s="13"/>
    </row>
    <row r="24" spans="1:17" ht="18.75" x14ac:dyDescent="0.2">
      <c r="A24" s="8"/>
      <c r="C24" s="60"/>
      <c r="D24" s="12"/>
      <c r="H24" s="15"/>
      <c r="I24" s="15"/>
    </row>
    <row r="26" spans="1:17" ht="18.75" x14ac:dyDescent="0.2">
      <c r="H26" s="15"/>
      <c r="I26" s="6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Y79"/>
  <sheetViews>
    <sheetView tabSelected="1" topLeftCell="N1" zoomScaleNormal="100" workbookViewId="0">
      <selection activeCell="AB21" sqref="AB21"/>
    </sheetView>
  </sheetViews>
  <sheetFormatPr defaultColWidth="9.140625" defaultRowHeight="12" x14ac:dyDescent="0.2"/>
  <cols>
    <col min="1" max="1" width="16.7109375" style="48" customWidth="1"/>
    <col min="2" max="2" width="12.7109375" style="49" customWidth="1"/>
    <col min="3" max="3" width="13.85546875" style="49" bestFit="1" customWidth="1"/>
    <col min="4" max="4" width="14.7109375" style="49" customWidth="1"/>
    <col min="5" max="5" width="16.7109375" style="49" customWidth="1"/>
    <col min="6" max="6" width="14.7109375" style="49" customWidth="1"/>
    <col min="7" max="7" width="11.85546875" style="49" bestFit="1" customWidth="1"/>
    <col min="8" max="8" width="9" style="49" customWidth="1"/>
    <col min="9" max="9" width="16.42578125" style="59" customWidth="1"/>
    <col min="10" max="10" width="12.5703125" style="49" customWidth="1"/>
    <col min="11" max="11" width="4.85546875" style="49" customWidth="1"/>
    <col min="12" max="12" width="10.7109375" style="49" customWidth="1"/>
    <col min="13" max="13" width="17.140625" style="49" customWidth="1"/>
    <col min="14" max="14" width="11" style="49" customWidth="1"/>
    <col min="15" max="15" width="12.85546875" style="49" customWidth="1"/>
    <col min="16" max="16" width="17.42578125" style="49" customWidth="1"/>
    <col min="17" max="17" width="13.42578125" style="49" customWidth="1"/>
    <col min="18" max="18" width="14.42578125" style="49" customWidth="1"/>
    <col min="19" max="19" width="14.140625" style="49" bestFit="1" customWidth="1"/>
    <col min="20" max="20" width="12.140625" style="49" customWidth="1"/>
    <col min="21" max="21" width="9.140625" style="49"/>
    <col min="22" max="27" width="12.5703125" style="49" customWidth="1"/>
    <col min="28" max="28" width="16.28515625" style="49" customWidth="1"/>
    <col min="29" max="29" width="12.5703125" style="49" customWidth="1"/>
    <col min="30" max="30" width="17.140625" style="49" customWidth="1"/>
    <col min="31" max="31" width="19.5703125" style="49" customWidth="1"/>
    <col min="32" max="33" width="17.140625" style="49" customWidth="1"/>
    <col min="34" max="34" width="11.7109375" style="49" customWidth="1"/>
    <col min="35" max="38" width="9.140625" style="49"/>
    <col min="39" max="39" width="9.140625" style="48"/>
    <col min="40" max="40" width="13.5703125" style="49" customWidth="1"/>
    <col min="41" max="41" width="11.85546875" style="49" bestFit="1" customWidth="1"/>
    <col min="42" max="43" width="12.140625" style="49" bestFit="1" customWidth="1"/>
    <col min="44" max="44" width="12" style="49" bestFit="1" customWidth="1"/>
    <col min="45" max="45" width="13.42578125" style="49" customWidth="1"/>
    <col min="46" max="46" width="11.85546875" style="49" bestFit="1" customWidth="1"/>
    <col min="47" max="47" width="9.140625" style="49"/>
    <col min="48" max="49" width="9.7109375" style="49" bestFit="1" customWidth="1"/>
    <col min="50" max="50" width="9.140625" style="49"/>
    <col min="51" max="51" width="10.85546875" style="49" customWidth="1"/>
    <col min="52" max="16384" width="9.140625" style="49"/>
  </cols>
  <sheetData>
    <row r="1" spans="1:43" ht="27.75" customHeight="1" x14ac:dyDescent="0.2">
      <c r="A1" s="71" t="s">
        <v>0</v>
      </c>
      <c r="B1" s="72" t="s">
        <v>314</v>
      </c>
      <c r="C1" s="73"/>
      <c r="I1" s="49"/>
      <c r="L1" s="94" t="s">
        <v>2</v>
      </c>
      <c r="M1" s="94" t="s">
        <v>323</v>
      </c>
      <c r="N1" s="50">
        <v>45495</v>
      </c>
      <c r="AN1" s="49" t="s">
        <v>331</v>
      </c>
      <c r="AP1" s="94" t="s">
        <v>328</v>
      </c>
      <c r="AQ1" s="94" t="s">
        <v>332</v>
      </c>
    </row>
    <row r="2" spans="1:43" x14ac:dyDescent="0.2">
      <c r="A2" s="71" t="s">
        <v>229</v>
      </c>
      <c r="B2" s="102" t="s">
        <v>384</v>
      </c>
      <c r="C2" s="50"/>
      <c r="E2" s="49">
        <v>20240716</v>
      </c>
      <c r="F2" s="93">
        <v>45485</v>
      </c>
      <c r="I2" s="49"/>
      <c r="J2" s="94" t="s">
        <v>321</v>
      </c>
      <c r="K2" s="94" t="s">
        <v>322</v>
      </c>
      <c r="L2" s="94" t="str">
        <f>[1]!s_info_name(M2)</f>
        <v>美元中间价</v>
      </c>
      <c r="M2" s="94" t="s">
        <v>380</v>
      </c>
      <c r="N2" s="103">
        <f>[1]!WSD(M2:M3,K2,"2024-07-22","2024-07-22","TradingCalendar=SSE","rptType=1","Direction=V","ShowParams=Y","cols=1;rows=2")</f>
        <v>7.1334999999999997</v>
      </c>
      <c r="AN2" s="94" t="s">
        <v>328</v>
      </c>
      <c r="AO2" s="94" t="s">
        <v>260</v>
      </c>
      <c r="AP2" s="94" t="s">
        <v>329</v>
      </c>
      <c r="AQ2" s="94" t="s">
        <v>333</v>
      </c>
    </row>
    <row r="3" spans="1:43" x14ac:dyDescent="0.2">
      <c r="A3" s="71" t="s">
        <v>3</v>
      </c>
      <c r="B3" s="51" t="s">
        <v>309</v>
      </c>
      <c r="I3" s="49"/>
      <c r="L3" s="94" t="str">
        <f>[1]!s_info_name(M3)</f>
        <v>港元中间价</v>
      </c>
      <c r="M3" s="94" t="s">
        <v>381</v>
      </c>
      <c r="N3" s="95">
        <v>0.91332999999999998</v>
      </c>
      <c r="AN3" s="94" t="s">
        <v>329</v>
      </c>
      <c r="AO3" s="94" t="s">
        <v>261</v>
      </c>
      <c r="AP3" s="94" t="s">
        <v>330</v>
      </c>
      <c r="AQ3" s="97">
        <f>RTD("wdf.rtq", ,"BABA.N", "rt_last","RT_Price")</f>
        <v>76.64</v>
      </c>
    </row>
    <row r="4" spans="1:43" x14ac:dyDescent="0.2">
      <c r="A4" s="49" t="s">
        <v>4</v>
      </c>
      <c r="B4" s="51" t="s">
        <v>5</v>
      </c>
      <c r="C4" s="49" t="s">
        <v>6</v>
      </c>
      <c r="D4" s="49" t="s">
        <v>7</v>
      </c>
      <c r="E4" s="49" t="s">
        <v>8</v>
      </c>
      <c r="F4" s="49" t="s">
        <v>9</v>
      </c>
      <c r="G4" s="49" t="s">
        <v>308</v>
      </c>
      <c r="I4" s="49"/>
      <c r="AN4" s="94" t="s">
        <v>330</v>
      </c>
      <c r="AO4" s="97">
        <f>RTD("wdf.rtq", ,"9988.HK", "rt_last","RT_Price")</f>
        <v>74.150000000000006</v>
      </c>
    </row>
    <row r="5" spans="1:43" ht="29.25" customHeight="1" x14ac:dyDescent="0.2">
      <c r="A5" s="71" t="s">
        <v>2</v>
      </c>
      <c r="B5" s="71" t="s">
        <v>3</v>
      </c>
      <c r="C5" s="71" t="s">
        <v>11</v>
      </c>
      <c r="D5" s="71" t="s">
        <v>12</v>
      </c>
      <c r="E5" s="71" t="s">
        <v>13</v>
      </c>
      <c r="F5" s="74" t="s">
        <v>14</v>
      </c>
      <c r="G5" s="71" t="s">
        <v>15</v>
      </c>
      <c r="H5" s="90"/>
      <c r="I5" s="49">
        <v>15</v>
      </c>
      <c r="M5" s="94" t="s">
        <v>2</v>
      </c>
      <c r="N5" s="94" t="s">
        <v>323</v>
      </c>
      <c r="O5" s="50">
        <f>N1</f>
        <v>45495</v>
      </c>
      <c r="P5" s="50" t="s">
        <v>370</v>
      </c>
      <c r="Q5" s="50" t="s">
        <v>382</v>
      </c>
      <c r="R5" s="49" t="s">
        <v>325</v>
      </c>
      <c r="S5" s="49" t="s">
        <v>326</v>
      </c>
      <c r="T5" s="49" t="s">
        <v>327</v>
      </c>
      <c r="V5" s="49" t="s">
        <v>334</v>
      </c>
      <c r="W5" s="49" t="s">
        <v>344</v>
      </c>
      <c r="X5" s="49" t="s">
        <v>369</v>
      </c>
      <c r="Y5" s="49" t="s">
        <v>370</v>
      </c>
      <c r="Z5" s="49" t="s">
        <v>325</v>
      </c>
      <c r="AD5" s="94" t="s">
        <v>338</v>
      </c>
      <c r="AE5" s="94" t="s">
        <v>339</v>
      </c>
      <c r="AF5" s="94" t="s">
        <v>340</v>
      </c>
      <c r="AG5" s="94" t="s">
        <v>356</v>
      </c>
      <c r="AH5" s="94"/>
      <c r="AI5" s="94"/>
      <c r="AJ5" s="94"/>
      <c r="AK5" s="94"/>
      <c r="AL5" s="94"/>
    </row>
    <row r="6" spans="1:43" ht="12.75" x14ac:dyDescent="0.2">
      <c r="A6" s="3">
        <f>[1]!wset("etfconstituent","date="&amp;B2,"windcode="&amp;B3,"field=date,wind_code,sec_name,volume,cash_substitution_mark,cash_substitution_premium_ratio,fixed_substitution_amount","cols=7;rows=43","cols=7;rows=43","cols=7;rows=33")</f>
        <v>45496</v>
      </c>
      <c r="B6" s="52" t="s">
        <v>316</v>
      </c>
      <c r="C6" s="52" t="s">
        <v>320</v>
      </c>
      <c r="D6" s="58">
        <v>942</v>
      </c>
      <c r="E6" s="52" t="s">
        <v>319</v>
      </c>
      <c r="F6" s="58">
        <v>10</v>
      </c>
      <c r="G6" s="53">
        <v>2838.49</v>
      </c>
      <c r="H6" s="55"/>
      <c r="I6" s="96">
        <f>SUM(G6:G38)</f>
        <v>999448.72999999986</v>
      </c>
      <c r="K6" s="94" t="s">
        <v>321</v>
      </c>
      <c r="L6" s="94" t="s">
        <v>322</v>
      </c>
      <c r="M6" s="94" t="str">
        <f>[1]!s_info_name(N6)</f>
        <v>阿里健康</v>
      </c>
      <c r="N6" s="94" t="s">
        <v>335</v>
      </c>
      <c r="O6" s="49">
        <f t="shared" ref="O6:O25" si="0">I43*$N$3</f>
        <v>3.0413888999999998</v>
      </c>
      <c r="P6" s="95">
        <f>O6*D6</f>
        <v>2864.9883437999997</v>
      </c>
      <c r="Q6" s="95">
        <f>SUM(P6:P38)</f>
        <v>1021069.1966299003</v>
      </c>
      <c r="R6" s="49">
        <f>(Q6-I6)/I6</f>
        <v>2.1632391918593355E-2</v>
      </c>
      <c r="S6" s="104">
        <v>0.99929999999999997</v>
      </c>
      <c r="T6" s="49">
        <f>S6*(1+R6)</f>
        <v>1.0209172492442504</v>
      </c>
      <c r="V6" s="49">
        <f>RTD("wdf.rtq", ,"0241.HK", "rt_last","RT_Price")</f>
        <v>3.23</v>
      </c>
      <c r="W6" s="49">
        <f>V6*$AE$7</f>
        <v>3.0097140000000002</v>
      </c>
      <c r="X6" s="49">
        <f>W6*D6</f>
        <v>2835.1505880000004</v>
      </c>
      <c r="Y6" s="49">
        <f>SUM(X6:X38)</f>
        <v>1025519.8611014405</v>
      </c>
      <c r="Z6" s="49">
        <f>(Y6-Q6)/Q6</f>
        <v>4.3588274783236377E-3</v>
      </c>
      <c r="AD6" s="94" t="s">
        <v>341</v>
      </c>
      <c r="AE6" s="94" t="s">
        <v>342</v>
      </c>
      <c r="AF6" s="94" t="s">
        <v>343</v>
      </c>
      <c r="AG6" s="94" t="s">
        <v>357</v>
      </c>
      <c r="AH6" s="94"/>
      <c r="AI6" s="94"/>
      <c r="AJ6" s="94"/>
      <c r="AK6" s="94"/>
      <c r="AL6" s="94"/>
    </row>
    <row r="7" spans="1:43" x14ac:dyDescent="0.2">
      <c r="A7" s="54">
        <v>45496</v>
      </c>
      <c r="B7" s="52" t="s">
        <v>164</v>
      </c>
      <c r="C7" s="52" t="s">
        <v>165</v>
      </c>
      <c r="D7" s="58">
        <v>916</v>
      </c>
      <c r="E7" s="52" t="s">
        <v>16</v>
      </c>
      <c r="F7" s="58">
        <v>10</v>
      </c>
      <c r="G7" s="53">
        <v>304452.78999999998</v>
      </c>
      <c r="H7" s="55"/>
      <c r="I7" s="49"/>
      <c r="M7" s="94" t="str">
        <f>[1]!s_info_name(N7)</f>
        <v>腾讯控股</v>
      </c>
      <c r="N7" s="94" t="s">
        <v>374</v>
      </c>
      <c r="O7" s="49">
        <f t="shared" si="0"/>
        <v>340.85475599999995</v>
      </c>
      <c r="P7" s="95">
        <f t="shared" ref="P7:P38" si="1">O7*D7</f>
        <v>312222.95649599994</v>
      </c>
      <c r="Q7" s="95"/>
      <c r="R7" s="95"/>
      <c r="V7" s="49">
        <f>RTD("wdf.rtq", ,"0700.HK", "rt_last","RT_Price")</f>
        <v>366.6</v>
      </c>
      <c r="W7" s="49">
        <f t="shared" ref="W7:W25" si="2">V7*$AE$7</f>
        <v>341.59788000000003</v>
      </c>
      <c r="X7" s="49">
        <f t="shared" ref="X7:X38" si="3">W7*D7</f>
        <v>312903.65808000002</v>
      </c>
      <c r="AD7" s="94" t="s">
        <v>330</v>
      </c>
      <c r="AE7" s="97">
        <f>RTD("wdf.rtq", ,"HKDCNY.IB", "rt_last","RT_Price")</f>
        <v>0.93180000000000007</v>
      </c>
      <c r="AF7" s="97">
        <f>RTD("wdf.rtq", ,"USDCNY.IB", "rt_last","RT_Price")</f>
        <v>7.2745000000000006</v>
      </c>
      <c r="AG7" s="97">
        <f>RTD("wdf.rtq", ,"USDHKD.IB", "rt_last","RT_Price")</f>
        <v>7.8069049999999995</v>
      </c>
      <c r="AH7" s="94"/>
      <c r="AI7" s="97"/>
      <c r="AJ7" s="97"/>
      <c r="AK7" s="97"/>
      <c r="AL7" s="97"/>
      <c r="AM7" s="98"/>
    </row>
    <row r="8" spans="1:43" ht="12.75" thickBot="1" x14ac:dyDescent="0.25">
      <c r="A8" s="54">
        <v>45496</v>
      </c>
      <c r="B8" s="52" t="s">
        <v>30</v>
      </c>
      <c r="C8" s="52" t="s">
        <v>31</v>
      </c>
      <c r="D8" s="58">
        <v>75</v>
      </c>
      <c r="E8" s="52" t="s">
        <v>16</v>
      </c>
      <c r="F8" s="58">
        <v>10</v>
      </c>
      <c r="G8" s="53">
        <v>1760.02</v>
      </c>
      <c r="H8" s="55"/>
      <c r="I8" s="49"/>
      <c r="K8" s="99"/>
      <c r="M8" s="94" t="str">
        <f>[1]!s_info_name(N8)</f>
        <v>阅文集团</v>
      </c>
      <c r="N8" s="94" t="s">
        <v>375</v>
      </c>
      <c r="O8" s="49">
        <f t="shared" si="0"/>
        <v>24.066245500000001</v>
      </c>
      <c r="P8" s="95">
        <f t="shared" si="1"/>
        <v>1804.9684125000001</v>
      </c>
      <c r="Q8" s="95"/>
      <c r="R8" s="95"/>
      <c r="V8" s="49">
        <f>RTD("wdf.rtq", ,"0772.HK", "rt_last","RT_Price")</f>
        <v>25.7</v>
      </c>
      <c r="W8" s="49">
        <f t="shared" si="2"/>
        <v>23.94726</v>
      </c>
      <c r="X8" s="49">
        <f t="shared" si="3"/>
        <v>1796.0445</v>
      </c>
    </row>
    <row r="9" spans="1:43" ht="13.5" x14ac:dyDescent="0.2">
      <c r="A9" s="61">
        <v>45496</v>
      </c>
      <c r="B9" s="62" t="s">
        <v>158</v>
      </c>
      <c r="C9" s="62" t="s">
        <v>243</v>
      </c>
      <c r="D9" s="63">
        <v>198</v>
      </c>
      <c r="E9" s="62" t="s">
        <v>16</v>
      </c>
      <c r="F9" s="63">
        <v>10</v>
      </c>
      <c r="G9" s="64">
        <v>2487.75</v>
      </c>
      <c r="H9" s="55"/>
      <c r="I9" s="49"/>
      <c r="M9" s="94" t="str">
        <f>[1]!s_info_name(N9)</f>
        <v>同程旅行</v>
      </c>
      <c r="N9" s="100" t="s">
        <v>376</v>
      </c>
      <c r="O9" s="49">
        <f t="shared" si="0"/>
        <v>12.768353400000001</v>
      </c>
      <c r="P9" s="95">
        <f t="shared" si="1"/>
        <v>2528.1339732000001</v>
      </c>
      <c r="Q9" s="95"/>
      <c r="R9" s="95"/>
      <c r="V9" s="49">
        <f>RTD("wdf.rtq", ,"0780.HK", "rt_last","RT_Price")</f>
        <v>13.72</v>
      </c>
      <c r="W9" s="49">
        <f t="shared" si="2"/>
        <v>12.784296000000001</v>
      </c>
      <c r="X9" s="49">
        <f t="shared" si="3"/>
        <v>2531.2906080000002</v>
      </c>
      <c r="Z9" s="107"/>
      <c r="AA9" s="108" t="s">
        <v>371</v>
      </c>
      <c r="AB9" s="109" t="s">
        <v>372</v>
      </c>
      <c r="AC9" s="110" t="s">
        <v>373</v>
      </c>
    </row>
    <row r="10" spans="1:43" ht="14.25" thickBot="1" x14ac:dyDescent="0.25">
      <c r="A10" s="61">
        <v>45496</v>
      </c>
      <c r="B10" s="62" t="s">
        <v>189</v>
      </c>
      <c r="C10" s="62" t="s">
        <v>190</v>
      </c>
      <c r="D10" s="63">
        <v>444</v>
      </c>
      <c r="E10" s="62" t="s">
        <v>16</v>
      </c>
      <c r="F10" s="63">
        <v>10</v>
      </c>
      <c r="G10" s="64">
        <v>18325.02</v>
      </c>
      <c r="H10" s="55"/>
      <c r="I10" s="49"/>
      <c r="M10" s="94" t="str">
        <f>[1]!s_info_name(N10)</f>
        <v>快手-W</v>
      </c>
      <c r="N10" s="94" t="s">
        <v>189</v>
      </c>
      <c r="O10" s="49">
        <f t="shared" si="0"/>
        <v>41.510848500000002</v>
      </c>
      <c r="P10" s="95">
        <f t="shared" si="1"/>
        <v>18430.816734</v>
      </c>
      <c r="Q10" s="95"/>
      <c r="R10" s="95"/>
      <c r="V10" s="49">
        <f>RTD("wdf.rtq", ,"1024.HK", "rt_last","RT_Price")</f>
        <v>44.6</v>
      </c>
      <c r="W10" s="49">
        <f t="shared" si="2"/>
        <v>41.558280000000003</v>
      </c>
      <c r="X10" s="49">
        <f t="shared" si="3"/>
        <v>18451.876320000003</v>
      </c>
      <c r="Z10" s="107" t="s">
        <v>377</v>
      </c>
      <c r="AA10" s="111">
        <f>$T$6*(1+$Z$6)</f>
        <v>1.0253672514033509</v>
      </c>
      <c r="AB10" s="112">
        <f>RTD("wdf.rtq", ,"513050.SH", "rt_last","RT_Price")</f>
        <v>1.0389999999999999</v>
      </c>
      <c r="AC10" s="114">
        <f>(AB10-AA10)/AA10</f>
        <v>1.3295478842327719E-2</v>
      </c>
    </row>
    <row r="11" spans="1:43" ht="14.25" thickBot="1" x14ac:dyDescent="0.25">
      <c r="A11" s="61">
        <v>45496</v>
      </c>
      <c r="B11" s="62" t="s">
        <v>276</v>
      </c>
      <c r="C11" s="62" t="s">
        <v>277</v>
      </c>
      <c r="D11" s="63">
        <v>75</v>
      </c>
      <c r="E11" s="62" t="s">
        <v>16</v>
      </c>
      <c r="F11" s="63">
        <v>10</v>
      </c>
      <c r="G11" s="64">
        <v>745.1</v>
      </c>
      <c r="H11" s="55"/>
      <c r="I11" s="49"/>
      <c r="M11" s="94" t="str">
        <f>[1]!s_info_name(N11)</f>
        <v>东方甄选</v>
      </c>
      <c r="N11" s="94" t="s">
        <v>276</v>
      </c>
      <c r="O11" s="49">
        <f t="shared" si="0"/>
        <v>10.704227600000001</v>
      </c>
      <c r="P11" s="95">
        <f t="shared" si="1"/>
        <v>802.81707000000006</v>
      </c>
      <c r="Q11" s="95"/>
      <c r="R11" s="95"/>
      <c r="V11" s="49">
        <f>RTD("wdf.rtq", ,"1797.HK", "rt_last","RT_Price")</f>
        <v>11.56</v>
      </c>
      <c r="W11" s="49">
        <f t="shared" si="2"/>
        <v>10.771608000000001</v>
      </c>
      <c r="X11" s="49">
        <f t="shared" si="3"/>
        <v>807.87060000000008</v>
      </c>
      <c r="Z11" s="107" t="s">
        <v>378</v>
      </c>
      <c r="AA11" s="111">
        <f>$T$6*(1+$Z$6)</f>
        <v>1.0253672514033509</v>
      </c>
      <c r="AB11" s="113">
        <f>RTD("wdf.rtq", ,"513050.SH", "rt_bid1","RT_Price")</f>
        <v>1.038</v>
      </c>
      <c r="AC11" s="114">
        <f>(AB11-AA11)/AA11</f>
        <v>1.2320218516204316E-2</v>
      </c>
    </row>
    <row r="12" spans="1:43" ht="14.25" thickBot="1" x14ac:dyDescent="0.25">
      <c r="A12" s="61">
        <v>45496</v>
      </c>
      <c r="B12" s="62" t="s">
        <v>172</v>
      </c>
      <c r="C12" s="62" t="s">
        <v>173</v>
      </c>
      <c r="D12" s="63">
        <v>2563</v>
      </c>
      <c r="E12" s="62" t="s">
        <v>16</v>
      </c>
      <c r="F12" s="63">
        <v>10</v>
      </c>
      <c r="G12" s="64">
        <v>38661.769999999997</v>
      </c>
      <c r="H12" s="55"/>
      <c r="I12" s="49"/>
      <c r="M12" s="94" t="str">
        <f>[1]!s_info_name(N12)</f>
        <v>小米集团-W</v>
      </c>
      <c r="N12" s="94" t="s">
        <v>172</v>
      </c>
      <c r="O12" s="49">
        <f t="shared" si="0"/>
        <v>15.727542599999998</v>
      </c>
      <c r="P12" s="95">
        <f t="shared" si="1"/>
        <v>40309.691683799996</v>
      </c>
      <c r="Q12" s="95"/>
      <c r="R12" s="95"/>
      <c r="V12" s="49">
        <f>RTD("wdf.rtq", ,"1810.HK", "rt_last","RT_Price")</f>
        <v>16.899999999999999</v>
      </c>
      <c r="W12" s="49">
        <f t="shared" si="2"/>
        <v>15.74742</v>
      </c>
      <c r="X12" s="49">
        <f t="shared" si="3"/>
        <v>40360.637459999998</v>
      </c>
      <c r="Z12" s="107" t="s">
        <v>379</v>
      </c>
      <c r="AA12" s="111">
        <f>$T$6*(1+$Z$6)</f>
        <v>1.0253672514033509</v>
      </c>
      <c r="AB12" s="113">
        <f>RTD("wdf.rtq", ,"513050.SH", "rt_ask1","RT_Price")</f>
        <v>1.0389999999999999</v>
      </c>
      <c r="AC12" s="114">
        <f>(AB12-AA12)/AA12</f>
        <v>1.3295478842327719E-2</v>
      </c>
    </row>
    <row r="13" spans="1:43" ht="12.75" x14ac:dyDescent="0.2">
      <c r="A13" s="61">
        <v>45496</v>
      </c>
      <c r="B13" s="62" t="s">
        <v>166</v>
      </c>
      <c r="C13" s="62" t="s">
        <v>167</v>
      </c>
      <c r="D13" s="63">
        <v>98</v>
      </c>
      <c r="E13" s="62" t="s">
        <v>16</v>
      </c>
      <c r="F13" s="63">
        <v>10</v>
      </c>
      <c r="G13" s="64">
        <v>991.49</v>
      </c>
      <c r="H13" s="55"/>
      <c r="I13" s="49"/>
      <c r="M13" s="94" t="str">
        <f>[1]!s_info_name(N13)</f>
        <v>平安好医生</v>
      </c>
      <c r="N13" s="94" t="s">
        <v>166</v>
      </c>
      <c r="O13" s="49">
        <f t="shared" si="0"/>
        <v>10.4484952</v>
      </c>
      <c r="P13" s="95">
        <f t="shared" si="1"/>
        <v>1023.9525296</v>
      </c>
      <c r="Q13" s="95"/>
      <c r="R13" s="95"/>
      <c r="V13" s="49">
        <f>RTD("wdf.rtq", ,"1833.HK", "rt_last","RT_Price")</f>
        <v>11.16</v>
      </c>
      <c r="W13" s="49">
        <f t="shared" si="2"/>
        <v>10.398888000000001</v>
      </c>
      <c r="X13" s="49">
        <f t="shared" si="3"/>
        <v>1019.0910240000002</v>
      </c>
    </row>
    <row r="14" spans="1:43" ht="12.75" x14ac:dyDescent="0.2">
      <c r="A14" s="61">
        <v>45496</v>
      </c>
      <c r="B14" s="62" t="s">
        <v>132</v>
      </c>
      <c r="C14" s="62" t="s">
        <v>179</v>
      </c>
      <c r="D14" s="63">
        <v>912</v>
      </c>
      <c r="E14" s="62" t="s">
        <v>16</v>
      </c>
      <c r="F14" s="63">
        <v>10</v>
      </c>
      <c r="G14" s="64">
        <v>97848.87</v>
      </c>
      <c r="H14" s="55"/>
      <c r="I14" s="49"/>
      <c r="M14" s="94" t="str">
        <f>[1]!s_info_name(N14)</f>
        <v>美团-W</v>
      </c>
      <c r="N14" s="94" t="s">
        <v>132</v>
      </c>
      <c r="O14" s="49">
        <f t="shared" si="0"/>
        <v>110.786929</v>
      </c>
      <c r="P14" s="95">
        <f t="shared" si="1"/>
        <v>101037.679248</v>
      </c>
      <c r="Q14" s="95"/>
      <c r="R14" s="95"/>
      <c r="V14" s="49">
        <f>RTD("wdf.rtq", ,"3690.HK", "rt_last","RT_Price")</f>
        <v>118</v>
      </c>
      <c r="W14" s="49">
        <f t="shared" si="2"/>
        <v>109.95240000000001</v>
      </c>
      <c r="X14" s="49">
        <f t="shared" si="3"/>
        <v>100276.58880000001</v>
      </c>
    </row>
    <row r="15" spans="1:43" ht="12.75" x14ac:dyDescent="0.2">
      <c r="A15" s="61">
        <v>45496</v>
      </c>
      <c r="B15" s="62" t="s">
        <v>18</v>
      </c>
      <c r="C15" s="62" t="s">
        <v>19</v>
      </c>
      <c r="D15" s="63">
        <v>140</v>
      </c>
      <c r="E15" s="62" t="s">
        <v>16</v>
      </c>
      <c r="F15" s="63">
        <v>10</v>
      </c>
      <c r="G15" s="64">
        <v>2831.55</v>
      </c>
      <c r="H15" s="55"/>
      <c r="I15" s="49"/>
      <c r="M15" s="94" t="str">
        <f>[1]!s_info_name(N15)</f>
        <v>金山软件</v>
      </c>
      <c r="N15" s="94" t="s">
        <v>18</v>
      </c>
      <c r="O15" s="49">
        <f t="shared" si="0"/>
        <v>20.732590999999999</v>
      </c>
      <c r="P15" s="95">
        <f t="shared" si="1"/>
        <v>2902.5627399999998</v>
      </c>
      <c r="Q15" s="95"/>
      <c r="R15" s="95"/>
      <c r="V15" s="49">
        <f>RTD("wdf.rtq", ,"3888.HK", "rt_last","RT_Price")</f>
        <v>21.85</v>
      </c>
      <c r="W15" s="49">
        <f t="shared" si="2"/>
        <v>20.359830000000002</v>
      </c>
      <c r="X15" s="49">
        <f t="shared" si="3"/>
        <v>2850.3762000000002</v>
      </c>
      <c r="AC15" s="99"/>
    </row>
    <row r="16" spans="1:43" ht="12.75" x14ac:dyDescent="0.2">
      <c r="A16" s="61">
        <v>45496</v>
      </c>
      <c r="B16" s="62" t="s">
        <v>181</v>
      </c>
      <c r="C16" s="62" t="s">
        <v>182</v>
      </c>
      <c r="D16" s="63">
        <v>125</v>
      </c>
      <c r="E16" s="62" t="s">
        <v>16</v>
      </c>
      <c r="F16" s="63">
        <v>10</v>
      </c>
      <c r="G16" s="64">
        <v>1467.82</v>
      </c>
      <c r="H16" s="55"/>
      <c r="I16" s="49"/>
      <c r="M16" s="94" t="str">
        <f>[1]!s_info_name(N16)</f>
        <v>众安在线</v>
      </c>
      <c r="N16" s="94" t="s">
        <v>181</v>
      </c>
      <c r="O16" s="49">
        <f t="shared" si="0"/>
        <v>11.781957</v>
      </c>
      <c r="P16" s="95">
        <f t="shared" si="1"/>
        <v>1472.744625</v>
      </c>
      <c r="Q16" s="95"/>
      <c r="R16" s="95"/>
      <c r="V16" s="49">
        <f>RTD("wdf.rtq", ,"6060.HK", "rt_last","RT_Price")</f>
        <v>12.56</v>
      </c>
      <c r="W16" s="49">
        <f t="shared" si="2"/>
        <v>11.703408000000001</v>
      </c>
      <c r="X16" s="49">
        <f t="shared" si="3"/>
        <v>1462.9260000000002</v>
      </c>
      <c r="AC16" s="99"/>
    </row>
    <row r="17" spans="1:51" ht="12.75" x14ac:dyDescent="0.2">
      <c r="A17" s="61">
        <v>45496</v>
      </c>
      <c r="B17" s="62" t="s">
        <v>183</v>
      </c>
      <c r="C17" s="62" t="s">
        <v>184</v>
      </c>
      <c r="D17" s="63">
        <v>187</v>
      </c>
      <c r="E17" s="62" t="s">
        <v>16</v>
      </c>
      <c r="F17" s="63">
        <v>10</v>
      </c>
      <c r="G17" s="64">
        <v>3508.94</v>
      </c>
      <c r="H17" s="55"/>
      <c r="I17" s="49"/>
      <c r="M17" s="94" t="str">
        <f>[1]!s_info_name(N17)</f>
        <v>京东健康</v>
      </c>
      <c r="N17" s="94" t="s">
        <v>183</v>
      </c>
      <c r="O17" s="49">
        <f t="shared" si="0"/>
        <v>19.271263000000001</v>
      </c>
      <c r="P17" s="95">
        <f t="shared" si="1"/>
        <v>3603.726181</v>
      </c>
      <c r="Q17" s="95"/>
      <c r="R17" s="95"/>
      <c r="V17" s="49">
        <f>RTD("wdf.rtq", ,"6618.HK", "rt_last","RT_Price")</f>
        <v>20.7</v>
      </c>
      <c r="W17" s="49">
        <f t="shared" si="2"/>
        <v>19.288260000000001</v>
      </c>
      <c r="X17" s="49">
        <f t="shared" si="3"/>
        <v>3606.9046200000003</v>
      </c>
      <c r="AA17" s="94"/>
      <c r="AB17" s="94"/>
      <c r="AC17" s="99"/>
    </row>
    <row r="18" spans="1:51" ht="12.75" x14ac:dyDescent="0.2">
      <c r="A18" s="61">
        <v>45496</v>
      </c>
      <c r="B18" s="62" t="s">
        <v>253</v>
      </c>
      <c r="C18" s="62" t="s">
        <v>254</v>
      </c>
      <c r="D18" s="63">
        <v>370</v>
      </c>
      <c r="E18" s="62" t="s">
        <v>16</v>
      </c>
      <c r="F18" s="63">
        <v>10</v>
      </c>
      <c r="G18" s="64">
        <v>34697.269999999997</v>
      </c>
      <c r="H18" s="55"/>
      <c r="I18" s="49"/>
      <c r="M18" s="94" t="str">
        <f>[1]!s_info_name(N18)</f>
        <v>京东集团-SW</v>
      </c>
      <c r="N18" s="94" t="s">
        <v>253</v>
      </c>
      <c r="O18" s="49">
        <f t="shared" si="0"/>
        <v>95.077652999999998</v>
      </c>
      <c r="P18" s="95">
        <f t="shared" si="1"/>
        <v>35178.731610000003</v>
      </c>
      <c r="Q18" s="95"/>
      <c r="R18" s="95"/>
      <c r="V18" s="49">
        <f>RTD("wdf.rtq", ,"9618.HK", "rt_last","RT_Price")</f>
        <v>102.3</v>
      </c>
      <c r="W18" s="49">
        <f t="shared" si="2"/>
        <v>95.323140000000009</v>
      </c>
      <c r="X18" s="49">
        <f t="shared" si="3"/>
        <v>35269.561800000003</v>
      </c>
      <c r="AA18" s="94"/>
      <c r="AB18" s="94"/>
      <c r="AC18" s="99"/>
      <c r="AG18" s="94"/>
      <c r="AH18" s="94"/>
    </row>
    <row r="19" spans="1:51" ht="12.75" x14ac:dyDescent="0.2">
      <c r="A19" s="61">
        <v>45496</v>
      </c>
      <c r="B19" s="62" t="s">
        <v>255</v>
      </c>
      <c r="C19" s="62" t="s">
        <v>265</v>
      </c>
      <c r="D19" s="63">
        <v>42</v>
      </c>
      <c r="E19" s="62" t="s">
        <v>16</v>
      </c>
      <c r="F19" s="63">
        <v>10</v>
      </c>
      <c r="G19" s="64">
        <v>4648.1000000000004</v>
      </c>
      <c r="H19" s="55"/>
      <c r="I19" s="49"/>
      <c r="M19" s="94" t="str">
        <f>[1]!s_info_name(N19)</f>
        <v>哔哩哔哩-W</v>
      </c>
      <c r="N19" s="94" t="s">
        <v>255</v>
      </c>
      <c r="O19" s="49">
        <f t="shared" si="0"/>
        <v>109.23426799999999</v>
      </c>
      <c r="P19" s="95">
        <f t="shared" si="1"/>
        <v>4587.8392559999993</v>
      </c>
      <c r="Q19" s="95"/>
      <c r="R19" s="95"/>
      <c r="V19" s="49">
        <f>RTD("wdf.rtq", ,"9626.HK", "rt_last","RT_Price")</f>
        <v>117.10000000000001</v>
      </c>
      <c r="W19" s="49">
        <f t="shared" si="2"/>
        <v>109.11378000000002</v>
      </c>
      <c r="X19" s="49">
        <f t="shared" si="3"/>
        <v>4582.7787600000011</v>
      </c>
      <c r="AA19" s="94"/>
      <c r="AC19" s="99"/>
      <c r="AG19" s="94"/>
      <c r="AH19" s="94"/>
    </row>
    <row r="20" spans="1:51" ht="12.75" x14ac:dyDescent="0.2">
      <c r="A20" s="61">
        <v>45496</v>
      </c>
      <c r="B20" s="62" t="s">
        <v>302</v>
      </c>
      <c r="C20" s="62" t="s">
        <v>303</v>
      </c>
      <c r="D20" s="63">
        <v>56</v>
      </c>
      <c r="E20" s="62" t="s">
        <v>17</v>
      </c>
      <c r="F20" s="63">
        <v>0</v>
      </c>
      <c r="G20" s="64">
        <v>406.52</v>
      </c>
      <c r="H20" s="55"/>
      <c r="I20" s="49"/>
      <c r="M20" s="94" t="str">
        <f>[1]!s_info_name(N20)</f>
        <v>药师帮</v>
      </c>
      <c r="N20" s="94" t="s">
        <v>302</v>
      </c>
      <c r="O20" s="49">
        <f t="shared" si="0"/>
        <v>7.2701067999999998</v>
      </c>
      <c r="P20" s="95">
        <f t="shared" si="1"/>
        <v>407.12598079999998</v>
      </c>
      <c r="Q20" s="95"/>
      <c r="R20" s="95"/>
      <c r="V20" s="49">
        <f>RTD("wdf.rtq", ,"9885.HK", "rt_last","RT_Price")</f>
        <v>8</v>
      </c>
      <c r="W20" s="49">
        <f t="shared" si="2"/>
        <v>7.4544000000000006</v>
      </c>
      <c r="X20" s="49">
        <f t="shared" si="3"/>
        <v>417.44640000000004</v>
      </c>
      <c r="AA20" s="94"/>
      <c r="AB20" s="94"/>
      <c r="AC20" s="99"/>
      <c r="AE20" s="94"/>
      <c r="AF20" s="94"/>
      <c r="AG20" s="94"/>
      <c r="AH20" s="97"/>
    </row>
    <row r="21" spans="1:51" ht="12.75" x14ac:dyDescent="0.2">
      <c r="A21" s="61">
        <v>45496</v>
      </c>
      <c r="B21" s="62" t="s">
        <v>256</v>
      </c>
      <c r="C21" s="62" t="s">
        <v>257</v>
      </c>
      <c r="D21" s="63">
        <v>414</v>
      </c>
      <c r="E21" s="62" t="s">
        <v>16</v>
      </c>
      <c r="F21" s="63">
        <v>10</v>
      </c>
      <c r="G21" s="64">
        <v>33323.129999999997</v>
      </c>
      <c r="H21" s="55"/>
      <c r="I21" s="49"/>
      <c r="M21" s="94" t="str">
        <f>[1]!s_info_name(N21)</f>
        <v>百度集团-SW</v>
      </c>
      <c r="N21" s="94" t="s">
        <v>256</v>
      </c>
      <c r="O21" s="49">
        <f t="shared" si="0"/>
        <v>81.697368499999996</v>
      </c>
      <c r="P21" s="95">
        <f t="shared" si="1"/>
        <v>33822.710558999999</v>
      </c>
      <c r="Q21" s="95"/>
      <c r="R21" s="95"/>
      <c r="V21" s="49">
        <f>RTD("wdf.rtq", ,"9888.HK", "rt_last","RT_Price")</f>
        <v>88.100000000000009</v>
      </c>
      <c r="W21" s="49">
        <f t="shared" si="2"/>
        <v>82.091580000000008</v>
      </c>
      <c r="X21" s="49">
        <f t="shared" si="3"/>
        <v>33985.914120000001</v>
      </c>
      <c r="AA21" s="94"/>
      <c r="AB21" s="94"/>
      <c r="AC21" s="99"/>
      <c r="AE21" s="94"/>
      <c r="AF21" s="94"/>
    </row>
    <row r="22" spans="1:51" ht="12.75" x14ac:dyDescent="0.2">
      <c r="A22" s="61">
        <v>45496</v>
      </c>
      <c r="B22" s="62" t="s">
        <v>304</v>
      </c>
      <c r="C22" s="62" t="s">
        <v>305</v>
      </c>
      <c r="D22" s="63">
        <v>31</v>
      </c>
      <c r="E22" s="62" t="s">
        <v>17</v>
      </c>
      <c r="F22" s="63">
        <v>0</v>
      </c>
      <c r="G22" s="64">
        <v>368.55</v>
      </c>
      <c r="H22" s="55"/>
      <c r="I22" s="49"/>
      <c r="M22" s="94" t="str">
        <f>[1]!s_info_name(N22)</f>
        <v>中旭未来</v>
      </c>
      <c r="N22" s="94" t="s">
        <v>304</v>
      </c>
      <c r="O22" s="49">
        <f t="shared" si="0"/>
        <v>11.453158199999999</v>
      </c>
      <c r="P22" s="95">
        <f t="shared" si="1"/>
        <v>355.04790419999995</v>
      </c>
      <c r="Q22" s="95"/>
      <c r="R22" s="95"/>
      <c r="V22" s="49">
        <f>RTD("wdf.rtq", ,"9890.HK", "rt_last","RT_Price")</f>
        <v>12.06</v>
      </c>
      <c r="W22" s="49">
        <f t="shared" si="2"/>
        <v>11.237508000000002</v>
      </c>
      <c r="X22" s="49">
        <f t="shared" si="3"/>
        <v>348.36274800000007</v>
      </c>
      <c r="AA22" s="94"/>
      <c r="AC22" s="99"/>
      <c r="AE22" s="94"/>
      <c r="AF22" s="97"/>
    </row>
    <row r="23" spans="1:51" ht="12.75" x14ac:dyDescent="0.2">
      <c r="A23" s="61">
        <v>45496</v>
      </c>
      <c r="B23" s="62" t="s">
        <v>258</v>
      </c>
      <c r="C23" s="62" t="s">
        <v>259</v>
      </c>
      <c r="D23" s="63">
        <v>100</v>
      </c>
      <c r="E23" s="62" t="s">
        <v>16</v>
      </c>
      <c r="F23" s="63">
        <v>10</v>
      </c>
      <c r="G23" s="64">
        <v>31429.25</v>
      </c>
      <c r="H23" s="55"/>
      <c r="I23" s="49"/>
      <c r="M23" s="94" t="str">
        <f>[1]!s_info_name(N23)</f>
        <v>携程集团-S</v>
      </c>
      <c r="N23" s="94" t="s">
        <v>258</v>
      </c>
      <c r="O23" s="49">
        <f t="shared" si="0"/>
        <v>330.44279399999999</v>
      </c>
      <c r="P23" s="95">
        <f t="shared" si="1"/>
        <v>33044.279399999999</v>
      </c>
      <c r="Q23" s="95"/>
      <c r="R23" s="95"/>
      <c r="V23" s="49">
        <f>RTD("wdf.rtq", ,"9961.HK", "rt_last","RT_Price")</f>
        <v>361</v>
      </c>
      <c r="W23" s="49">
        <f t="shared" si="2"/>
        <v>336.37980000000005</v>
      </c>
      <c r="X23" s="49">
        <f t="shared" si="3"/>
        <v>33637.980000000003</v>
      </c>
      <c r="AC23" s="99"/>
    </row>
    <row r="24" spans="1:51" ht="12.75" x14ac:dyDescent="0.2">
      <c r="A24" s="61">
        <v>45496</v>
      </c>
      <c r="B24" s="62" t="s">
        <v>260</v>
      </c>
      <c r="C24" s="62" t="s">
        <v>261</v>
      </c>
      <c r="D24" s="63">
        <v>3100</v>
      </c>
      <c r="E24" s="62" t="s">
        <v>16</v>
      </c>
      <c r="F24" s="63">
        <v>10</v>
      </c>
      <c r="G24" s="64">
        <v>208901.31</v>
      </c>
      <c r="H24" s="55"/>
      <c r="I24" s="49"/>
      <c r="M24" s="94" t="str">
        <f>[1]!s_info_name(N24)</f>
        <v>阿里巴巴-SW</v>
      </c>
      <c r="N24" s="94" t="s">
        <v>260</v>
      </c>
      <c r="O24" s="49">
        <f t="shared" si="0"/>
        <v>68.271417499999998</v>
      </c>
      <c r="P24" s="95">
        <f t="shared" si="1"/>
        <v>211641.39424999998</v>
      </c>
      <c r="Q24" s="95"/>
      <c r="R24" s="95"/>
      <c r="V24" s="49">
        <f>RTD("wdf.rtq", ,"9988.HK", "rt_last","RT_Price")</f>
        <v>74.150000000000006</v>
      </c>
      <c r="W24" s="49">
        <f t="shared" si="2"/>
        <v>69.092970000000008</v>
      </c>
      <c r="X24" s="49">
        <f t="shared" si="3"/>
        <v>214188.20700000002</v>
      </c>
      <c r="AC24" s="99"/>
    </row>
    <row r="25" spans="1:51" ht="12.75" x14ac:dyDescent="0.2">
      <c r="A25" s="61">
        <v>45496</v>
      </c>
      <c r="B25" s="62" t="s">
        <v>262</v>
      </c>
      <c r="C25" s="62" t="s">
        <v>263</v>
      </c>
      <c r="D25" s="63">
        <v>288</v>
      </c>
      <c r="E25" s="62" t="s">
        <v>16</v>
      </c>
      <c r="F25" s="63">
        <v>10</v>
      </c>
      <c r="G25" s="64">
        <v>37289.949999999997</v>
      </c>
      <c r="H25" s="55"/>
      <c r="I25" s="49"/>
      <c r="M25" s="94" t="str">
        <f>[1]!s_info_name(N25)</f>
        <v>网易-S</v>
      </c>
      <c r="N25" s="94" t="s">
        <v>262</v>
      </c>
      <c r="O25" s="49">
        <f t="shared" si="0"/>
        <v>132.158851</v>
      </c>
      <c r="P25" s="95">
        <f t="shared" si="1"/>
        <v>38061.749087999997</v>
      </c>
      <c r="Q25" s="95"/>
      <c r="R25" s="95"/>
      <c r="V25" s="49">
        <f>RTD("wdf.rtq", ,"9999.HK", "rt_last","RT_Price")</f>
        <v>142.5</v>
      </c>
      <c r="W25" s="49">
        <f t="shared" si="2"/>
        <v>132.78150000000002</v>
      </c>
      <c r="X25" s="49">
        <f t="shared" si="3"/>
        <v>38241.072000000007</v>
      </c>
    </row>
    <row r="26" spans="1:51" ht="12.75" x14ac:dyDescent="0.2">
      <c r="A26" s="3">
        <v>45496</v>
      </c>
      <c r="B26" s="5" t="s">
        <v>20</v>
      </c>
      <c r="C26" s="5" t="s">
        <v>21</v>
      </c>
      <c r="D26" s="57">
        <v>11</v>
      </c>
      <c r="E26" s="5" t="s">
        <v>16</v>
      </c>
      <c r="F26" s="57">
        <v>10</v>
      </c>
      <c r="G26" s="20">
        <v>1978.42</v>
      </c>
      <c r="H26" s="55"/>
      <c r="I26" s="49"/>
      <c r="M26" s="94" t="str">
        <f>[1]!s_info_name(N26)</f>
        <v>汽车之家</v>
      </c>
      <c r="N26" s="94" t="s">
        <v>336</v>
      </c>
      <c r="O26" s="49">
        <f t="shared" ref="O26:O38" si="4">I63*$N$2</f>
        <v>178.19483</v>
      </c>
      <c r="P26" s="95">
        <f t="shared" si="1"/>
        <v>1960.1431299999999</v>
      </c>
      <c r="Q26" s="95"/>
      <c r="R26" s="95"/>
      <c r="V26" s="49">
        <f>RTD("wdf.rtq", ,"ATHM.N", "rt_last","RT_Price")</f>
        <v>24.98</v>
      </c>
      <c r="W26" s="49">
        <f>AN29*AF7</f>
        <v>180.21076213941379</v>
      </c>
      <c r="X26" s="49">
        <f t="shared" si="3"/>
        <v>1982.3183835335517</v>
      </c>
      <c r="AM26" s="48" t="s">
        <v>328</v>
      </c>
      <c r="AN26" s="94" t="s">
        <v>345</v>
      </c>
      <c r="AO26" s="94" t="s">
        <v>346</v>
      </c>
      <c r="AP26" s="94" t="s">
        <v>347</v>
      </c>
      <c r="AQ26" s="94" t="s">
        <v>348</v>
      </c>
      <c r="AR26" s="94" t="s">
        <v>349</v>
      </c>
      <c r="AS26" s="94" t="s">
        <v>324</v>
      </c>
      <c r="AT26" s="49" t="s">
        <v>360</v>
      </c>
    </row>
    <row r="27" spans="1:51" ht="12.75" x14ac:dyDescent="0.2">
      <c r="A27" s="3">
        <v>45496</v>
      </c>
      <c r="B27" s="5" t="s">
        <v>174</v>
      </c>
      <c r="C27" s="5" t="s">
        <v>194</v>
      </c>
      <c r="D27" s="57">
        <v>108</v>
      </c>
      <c r="E27" s="5" t="s">
        <v>16</v>
      </c>
      <c r="F27" s="57">
        <v>10</v>
      </c>
      <c r="G27" s="20">
        <v>10875.25</v>
      </c>
      <c r="H27" s="55"/>
      <c r="I27" s="49"/>
      <c r="M27" s="94" t="str">
        <f>[1]!s_info_name(N27)</f>
        <v>贝壳</v>
      </c>
      <c r="N27" s="94" t="s">
        <v>337</v>
      </c>
      <c r="O27" s="49">
        <f t="shared" si="4"/>
        <v>102.15172</v>
      </c>
      <c r="P27" s="95">
        <f t="shared" si="1"/>
        <v>11032.385759999999</v>
      </c>
      <c r="Q27" s="95"/>
      <c r="R27" s="95"/>
      <c r="V27" s="49">
        <f>RTD("wdf.rtq", ,"BEKE.N", "rt_last","RT_Price")</f>
        <v>14.32</v>
      </c>
      <c r="W27" s="49">
        <f>AO29*AF7</f>
        <v>103.29039805146856</v>
      </c>
      <c r="X27" s="49">
        <f t="shared" si="3"/>
        <v>11155.362989558604</v>
      </c>
      <c r="AM27" s="48" t="s">
        <v>329</v>
      </c>
      <c r="AN27" s="94" t="s">
        <v>350</v>
      </c>
      <c r="AO27" s="94" t="s">
        <v>351</v>
      </c>
      <c r="AP27" s="94" t="s">
        <v>365</v>
      </c>
      <c r="AQ27" s="94" t="s">
        <v>352</v>
      </c>
      <c r="AR27" s="94" t="s">
        <v>353</v>
      </c>
      <c r="AS27" s="94" t="s">
        <v>354</v>
      </c>
      <c r="AT27" s="49" t="s">
        <v>361</v>
      </c>
      <c r="AU27" s="49" t="s">
        <v>362</v>
      </c>
      <c r="AV27" s="49" t="s">
        <v>363</v>
      </c>
      <c r="AW27" s="49" t="s">
        <v>364</v>
      </c>
      <c r="AX27" s="49" t="s">
        <v>367</v>
      </c>
      <c r="AY27" s="49" t="s">
        <v>366</v>
      </c>
    </row>
    <row r="28" spans="1:51" ht="12.75" x14ac:dyDescent="0.2">
      <c r="A28" s="3">
        <v>45496</v>
      </c>
      <c r="B28" s="5" t="s">
        <v>231</v>
      </c>
      <c r="C28" s="5" t="s">
        <v>232</v>
      </c>
      <c r="D28" s="57">
        <v>65</v>
      </c>
      <c r="E28" s="5" t="s">
        <v>16</v>
      </c>
      <c r="F28" s="57">
        <v>10</v>
      </c>
      <c r="G28" s="20">
        <v>7277.7</v>
      </c>
      <c r="H28" s="55"/>
      <c r="I28" s="49"/>
      <c r="M28" s="94" t="str">
        <f>[1]!s_info_name(N28)</f>
        <v>BOSS直聘</v>
      </c>
      <c r="N28" s="94" t="s">
        <v>231</v>
      </c>
      <c r="O28" s="49">
        <f t="shared" si="4"/>
        <v>114.49267500000001</v>
      </c>
      <c r="P28" s="95">
        <f t="shared" si="1"/>
        <v>7442.0238750000008</v>
      </c>
      <c r="Q28" s="95"/>
      <c r="R28" s="95"/>
      <c r="V28" s="49">
        <f>RTD("wdf.rtq", ,"BZ.O", "rt_last","RT_Price")</f>
        <v>16.05</v>
      </c>
      <c r="W28" s="49">
        <f>V28*(1+$AY$28)*$AF$7</f>
        <v>115.08527601773305</v>
      </c>
      <c r="X28" s="49">
        <f t="shared" si="3"/>
        <v>7480.5429411526484</v>
      </c>
      <c r="AM28" s="48" t="s">
        <v>330</v>
      </c>
      <c r="AN28" s="97">
        <f>RTD("wdf.rtq", ,"2518.HK", "rt_last","RT_Price")</f>
        <v>48.35</v>
      </c>
      <c r="AO28" s="97">
        <f>RTD("wdf.rtq", ,"2423.HK", "rt_last","RT_Price")</f>
        <v>36.950000000000003</v>
      </c>
      <c r="AP28" s="97">
        <f>RTD("wdf.rtq", ,"9626.HK", "rt_last","RT_Price")</f>
        <v>117.10000000000001</v>
      </c>
      <c r="AQ28" s="97">
        <f>RTD("wdf.rtq", ,"3660.HK", "rt_last","RT_Price")</f>
        <v>76.05</v>
      </c>
      <c r="AR28" s="97">
        <f>RTD("wdf.rtq", ,"1698.HK", "rt_last","RT_Price")</f>
        <v>56.95</v>
      </c>
      <c r="AS28" s="97">
        <f>RTD("wdf.rtq", ,"9898.HK", "rt_last","RT_Price")</f>
        <v>61.6</v>
      </c>
      <c r="AT28" s="97">
        <f>RTD("wdf.rtq", ,"9988.HK", "rt_last","RT_Price")</f>
        <v>74.150000000000006</v>
      </c>
      <c r="AU28" s="97">
        <f>RTD("wdf.rtq", ,"9888.HK", "rt_last","RT_Price")</f>
        <v>88.100000000000009</v>
      </c>
      <c r="AV28" s="97">
        <f>RTD("wdf.rtq", ,"9618.HK", "rt_last","RT_Price")</f>
        <v>102.3</v>
      </c>
      <c r="AW28" s="97">
        <f>RTD("wdf.rtq", ,"9999.HK", "rt_last","RT_Price")</f>
        <v>142.5</v>
      </c>
      <c r="AX28" s="49">
        <f>SUM(AN32:AW32)</f>
        <v>3527.89</v>
      </c>
      <c r="AY28" s="49">
        <f>AN31*AN33+AO31*AO33+AP31*AP33+AQ31*AQ33+AR31*AR33+AS31*AS33+AT31*AT33+AU31*AU33+AV31*AV33+AW31*AW33</f>
        <v>-1.4307212620768294E-2</v>
      </c>
    </row>
    <row r="29" spans="1:51" ht="12.75" x14ac:dyDescent="0.2">
      <c r="A29" s="3">
        <v>45496</v>
      </c>
      <c r="B29" s="5" t="s">
        <v>29</v>
      </c>
      <c r="C29" s="5" t="s">
        <v>195</v>
      </c>
      <c r="D29" s="57">
        <v>46</v>
      </c>
      <c r="E29" s="5" t="s">
        <v>16</v>
      </c>
      <c r="F29" s="57">
        <v>10</v>
      </c>
      <c r="G29" s="20">
        <v>1148.17</v>
      </c>
      <c r="H29" s="55"/>
      <c r="I29" s="49"/>
      <c r="M29" s="94" t="str">
        <f>[1]!s_info_name(N29)</f>
        <v>爱奇艺</v>
      </c>
      <c r="N29" s="94" t="s">
        <v>29</v>
      </c>
      <c r="O29" s="49">
        <f t="shared" si="4"/>
        <v>24.111229999999999</v>
      </c>
      <c r="P29" s="95">
        <f t="shared" si="1"/>
        <v>1109.1165799999999</v>
      </c>
      <c r="Q29" s="95"/>
      <c r="R29" s="95"/>
      <c r="V29" s="49">
        <f>RTD("wdf.rtq", ,"IQ.O", "rt_last","RT_Price")</f>
        <v>3.38</v>
      </c>
      <c r="W29" s="49">
        <f t="shared" ref="W29:W31" si="5">V29*(1+$AY$28)*$AF$7</f>
        <v>24.236026974450951</v>
      </c>
      <c r="X29" s="49">
        <f t="shared" si="3"/>
        <v>1114.8572408247437</v>
      </c>
      <c r="AM29" s="48" t="s">
        <v>355</v>
      </c>
      <c r="AN29" s="49">
        <f>AN28*4/AG7</f>
        <v>24.772941389705654</v>
      </c>
      <c r="AO29" s="49">
        <f>AO28*3/AG7</f>
        <v>14.198968733448147</v>
      </c>
      <c r="AP29" s="49">
        <f>AP28/AG7</f>
        <v>14.999542072050321</v>
      </c>
      <c r="AQ29" s="49">
        <f>AQ28*2/AG7</f>
        <v>19.48275276822249</v>
      </c>
      <c r="AR29" s="49">
        <f>AR28*2/AG7</f>
        <v>14.589648522686009</v>
      </c>
      <c r="AS29" s="49">
        <f>AS28/AG7</f>
        <v>7.890450825263021</v>
      </c>
      <c r="AT29" s="49">
        <f>AT28*8/AG7</f>
        <v>75.984016713409488</v>
      </c>
      <c r="AU29" s="49">
        <f>AU28*8/AG7</f>
        <v>90.279054247489896</v>
      </c>
      <c r="AV29" s="49">
        <f>AV28*2/AG7</f>
        <v>26.207568812480748</v>
      </c>
      <c r="AW29" s="49">
        <f>AW28*5/AG7</f>
        <v>91.265360600647767</v>
      </c>
    </row>
    <row r="30" spans="1:51" ht="12.75" x14ac:dyDescent="0.2">
      <c r="A30" s="3">
        <v>45496</v>
      </c>
      <c r="B30" s="5" t="s">
        <v>180</v>
      </c>
      <c r="C30" s="5" t="s">
        <v>196</v>
      </c>
      <c r="D30" s="57">
        <v>34</v>
      </c>
      <c r="E30" s="5" t="s">
        <v>16</v>
      </c>
      <c r="F30" s="57">
        <v>10</v>
      </c>
      <c r="G30" s="20">
        <v>681.34</v>
      </c>
      <c r="H30" s="55"/>
      <c r="I30" s="49"/>
      <c r="M30" s="94" t="str">
        <f>[1]!s_info_name(N30)</f>
        <v>陆金所控股</v>
      </c>
      <c r="N30" s="94" t="s">
        <v>180</v>
      </c>
      <c r="O30" s="49">
        <f t="shared" si="4"/>
        <v>20.615815000000001</v>
      </c>
      <c r="P30" s="95">
        <f t="shared" si="1"/>
        <v>700.93771000000004</v>
      </c>
      <c r="Q30" s="95"/>
      <c r="R30" s="95"/>
      <c r="V30" s="49">
        <f>RTD("wdf.rtq", ,"LU.N", "rt_last","RT_Price")</f>
        <v>2.89</v>
      </c>
      <c r="W30" s="49">
        <f>V30*(1+$AY$28)*$AF$7</f>
        <v>20.722520105373739</v>
      </c>
      <c r="X30" s="49">
        <f t="shared" si="3"/>
        <v>704.56568358270715</v>
      </c>
      <c r="AM30" s="48" t="s">
        <v>358</v>
      </c>
      <c r="AN30" s="49">
        <f>RTD("wdf.rtq", ,"ATHM.N", "rt_last","RT_Price")</f>
        <v>24.98</v>
      </c>
      <c r="AO30" s="49">
        <f>RTD("wdf.rtq", ,"BEKE.N", "rt_last","RT_Price")</f>
        <v>14.32</v>
      </c>
      <c r="AP30" s="49">
        <f>RTD("wdf.rtq", ,"BILI.O", "rt_last","RT_Price")</f>
        <v>15.35</v>
      </c>
      <c r="AQ30" s="49">
        <f>RTD("wdf.rtq", ,"QFIN.O", "rt_last","RT_Price")</f>
        <v>19.43</v>
      </c>
      <c r="AR30" s="49">
        <f>RTD("wdf.rtq", ,"TME.N", "rt_last","RT_Price")</f>
        <v>14.89</v>
      </c>
      <c r="AS30" s="49">
        <f>RTD("wdf.rtq", ,"WB.O", "rt_last","RT_Price")</f>
        <v>7.95</v>
      </c>
      <c r="AT30" s="49">
        <f>RTD("wdf.rtq", ,"BABA.N", "rt_last","RT_Price")</f>
        <v>76.64</v>
      </c>
      <c r="AU30" s="49">
        <f>RTD("wdf.rtq", ,"BIDU.O", "rt_last","RT_Price")</f>
        <v>92.27</v>
      </c>
      <c r="AV30" s="49">
        <f>RTD("wdf.rtq", ,"JD.O", "rt_last","RT_Price")</f>
        <v>26.85</v>
      </c>
      <c r="AW30" s="49">
        <f>RTD("wdf.rtq", ,"NTES.O", "rt_last","RT_Price")</f>
        <v>93.48</v>
      </c>
    </row>
    <row r="31" spans="1:51" ht="12.75" x14ac:dyDescent="0.2">
      <c r="A31" s="3">
        <v>45496</v>
      </c>
      <c r="B31" s="5" t="s">
        <v>150</v>
      </c>
      <c r="C31" s="5" t="s">
        <v>151</v>
      </c>
      <c r="D31" s="57">
        <v>122</v>
      </c>
      <c r="E31" s="5" t="s">
        <v>16</v>
      </c>
      <c r="F31" s="57">
        <v>10</v>
      </c>
      <c r="G31" s="20">
        <v>115750.52</v>
      </c>
      <c r="H31" s="55"/>
      <c r="I31" s="49"/>
      <c r="M31" s="94" t="str">
        <f>[1]!s_info_name(N31)</f>
        <v>拼多多</v>
      </c>
      <c r="N31" s="94" t="s">
        <v>150</v>
      </c>
      <c r="O31" s="49">
        <f t="shared" si="4"/>
        <v>957.60104000000001</v>
      </c>
      <c r="P31" s="95">
        <f t="shared" si="1"/>
        <v>116827.32688000001</v>
      </c>
      <c r="Q31" s="95"/>
      <c r="R31" s="95"/>
      <c r="V31" s="49">
        <f>RTD("wdf.rtq", ,"PDD.O", "rt_last","RT_Price")</f>
        <v>134.24</v>
      </c>
      <c r="W31" s="49">
        <f t="shared" si="5"/>
        <v>962.55747368351945</v>
      </c>
      <c r="X31" s="49">
        <f t="shared" si="3"/>
        <v>117432.01178938938</v>
      </c>
      <c r="AM31" s="48" t="s">
        <v>325</v>
      </c>
      <c r="AN31" s="49">
        <f>(AN29-AN30)/AN30</f>
        <v>-8.2889755922476611E-3</v>
      </c>
      <c r="AO31" s="49">
        <f t="shared" ref="AO31:AS31" si="6">(AO29-AO30)/AO30</f>
        <v>-8.4519040888165441E-3</v>
      </c>
      <c r="AP31" s="49">
        <f t="shared" si="6"/>
        <v>-2.2831135371314558E-2</v>
      </c>
      <c r="AQ31" s="49">
        <f t="shared" si="6"/>
        <v>2.715016377894492E-3</v>
      </c>
      <c r="AR31" s="49">
        <f t="shared" si="6"/>
        <v>-2.0171355091604559E-2</v>
      </c>
      <c r="AS31" s="49">
        <f t="shared" si="6"/>
        <v>-7.4904622310665633E-3</v>
      </c>
      <c r="AT31" s="49">
        <f t="shared" ref="AT31" si="7">(AT29-AT30)/AT30</f>
        <v>-8.559280879312528E-3</v>
      </c>
      <c r="AU31" s="49">
        <f t="shared" ref="AU31" si="8">(AU29-AU30)/AU30</f>
        <v>-2.1577389753008568E-2</v>
      </c>
      <c r="AV31" s="49">
        <f t="shared" ref="AV31" si="9">(AV29-AV30)/AV30</f>
        <v>-2.392667365062397E-2</v>
      </c>
      <c r="AW31" s="49">
        <f t="shared" ref="AW31" si="10">(AW29-AW30)/AW30</f>
        <v>-2.3691050485154436E-2</v>
      </c>
    </row>
    <row r="32" spans="1:51" ht="12.75" x14ac:dyDescent="0.2">
      <c r="A32" s="3">
        <v>45496</v>
      </c>
      <c r="B32" s="5" t="s">
        <v>192</v>
      </c>
      <c r="C32" s="5" t="s">
        <v>284</v>
      </c>
      <c r="D32" s="57">
        <v>23</v>
      </c>
      <c r="E32" s="5" t="s">
        <v>16</v>
      </c>
      <c r="F32" s="57">
        <v>10</v>
      </c>
      <c r="G32" s="20">
        <v>3155.83</v>
      </c>
      <c r="H32" s="55"/>
      <c r="I32" s="49"/>
      <c r="M32" s="94" t="str">
        <f>[1]!s_info_name(N32)</f>
        <v>奇富科技</v>
      </c>
      <c r="N32" s="94" t="s">
        <v>192</v>
      </c>
      <c r="O32" s="49">
        <f t="shared" si="4"/>
        <v>138.603905</v>
      </c>
      <c r="P32" s="95">
        <f t="shared" si="1"/>
        <v>3187.889815</v>
      </c>
      <c r="Q32" s="95"/>
      <c r="R32" s="95"/>
      <c r="V32" s="49">
        <f>RTD("wdf.rtq", ,"QFIN.O", "rt_last","RT_Price")</f>
        <v>19.43</v>
      </c>
      <c r="W32" s="49">
        <f>AQ29*AF7</f>
        <v>141.72728501243452</v>
      </c>
      <c r="X32" s="49">
        <f t="shared" si="3"/>
        <v>3259.7275552859942</v>
      </c>
      <c r="AM32" s="105" t="s">
        <v>359</v>
      </c>
      <c r="AN32" s="104">
        <v>31.36</v>
      </c>
      <c r="AO32" s="104">
        <v>168.48</v>
      </c>
      <c r="AP32" s="104">
        <v>51.81</v>
      </c>
      <c r="AQ32" s="104">
        <v>31.72</v>
      </c>
      <c r="AR32" s="104">
        <v>131.57</v>
      </c>
      <c r="AS32" s="104">
        <v>12.36</v>
      </c>
      <c r="AT32" s="106">
        <v>1853.3</v>
      </c>
      <c r="AU32" s="104">
        <v>263.02</v>
      </c>
      <c r="AV32" s="104">
        <v>383.98</v>
      </c>
      <c r="AW32" s="104">
        <v>600.29</v>
      </c>
    </row>
    <row r="33" spans="1:49" ht="12.75" x14ac:dyDescent="0.2">
      <c r="A33" s="3">
        <v>45496</v>
      </c>
      <c r="B33" s="5" t="s">
        <v>22</v>
      </c>
      <c r="C33" s="5" t="s">
        <v>23</v>
      </c>
      <c r="D33" s="57">
        <v>75</v>
      </c>
      <c r="E33" s="5" t="s">
        <v>16</v>
      </c>
      <c r="F33" s="57">
        <v>10</v>
      </c>
      <c r="G33" s="20">
        <v>5396.76</v>
      </c>
      <c r="H33" s="55"/>
      <c r="I33" s="49"/>
      <c r="M33" s="94" t="str">
        <f>[1]!s_info_name(N33)</f>
        <v>好未来</v>
      </c>
      <c r="N33" s="94" t="s">
        <v>22</v>
      </c>
      <c r="O33" s="49">
        <f t="shared" si="4"/>
        <v>77.683814999999996</v>
      </c>
      <c r="P33" s="95">
        <f t="shared" si="1"/>
        <v>5826.2861249999996</v>
      </c>
      <c r="Q33" s="95"/>
      <c r="R33" s="95"/>
      <c r="V33" s="49">
        <f>RTD("wdf.rtq", ,"TAL.N", "rt_last","RT_Price")</f>
        <v>10.89</v>
      </c>
      <c r="W33" s="49">
        <f>V33*(1+$AY$28)*$AF$7</f>
        <v>78.085897559695525</v>
      </c>
      <c r="X33" s="49">
        <f t="shared" si="3"/>
        <v>5856.4423169771644</v>
      </c>
      <c r="AM33" s="48" t="s">
        <v>368</v>
      </c>
      <c r="AN33" s="49">
        <f>AN32/$AX$28</f>
        <v>8.8891660454265865E-3</v>
      </c>
      <c r="AO33" s="49">
        <f t="shared" ref="AO33:AW33" si="11">AO32/$AX$28</f>
        <v>4.7756591050174463E-2</v>
      </c>
      <c r="AP33" s="49">
        <f t="shared" si="11"/>
        <v>1.4685832041248454E-2</v>
      </c>
      <c r="AQ33" s="49">
        <f t="shared" si="11"/>
        <v>8.9912100433970441E-3</v>
      </c>
      <c r="AR33" s="49">
        <f t="shared" si="11"/>
        <v>3.7294246702703315E-2</v>
      </c>
      <c r="AS33" s="49">
        <f t="shared" si="11"/>
        <v>3.5035105969857335E-3</v>
      </c>
      <c r="AT33" s="49">
        <f t="shared" si="11"/>
        <v>0.52532817066291748</v>
      </c>
      <c r="AU33" s="49">
        <f t="shared" si="11"/>
        <v>7.455447873941648E-2</v>
      </c>
      <c r="AV33" s="49">
        <f t="shared" si="11"/>
        <v>0.10884126205749046</v>
      </c>
      <c r="AW33" s="49">
        <f t="shared" si="11"/>
        <v>0.17015553206023998</v>
      </c>
    </row>
    <row r="34" spans="1:49" ht="12.75" x14ac:dyDescent="0.2">
      <c r="A34" s="3">
        <v>45496</v>
      </c>
      <c r="B34" s="5" t="s">
        <v>153</v>
      </c>
      <c r="C34" s="5" t="s">
        <v>154</v>
      </c>
      <c r="D34" s="57">
        <v>100</v>
      </c>
      <c r="E34" s="5" t="s">
        <v>16</v>
      </c>
      <c r="F34" s="57">
        <v>10</v>
      </c>
      <c r="G34" s="20">
        <v>10169.52</v>
      </c>
      <c r="H34" s="55"/>
      <c r="I34" s="49"/>
      <c r="M34" s="94" t="str">
        <f>[1]!s_info_name(N34)</f>
        <v>腾讯音乐</v>
      </c>
      <c r="N34" s="94" t="s">
        <v>153</v>
      </c>
      <c r="O34" s="49">
        <f t="shared" si="4"/>
        <v>106.217815</v>
      </c>
      <c r="P34" s="95">
        <f t="shared" si="1"/>
        <v>10621.781500000001</v>
      </c>
      <c r="Q34" s="95"/>
      <c r="R34" s="95"/>
      <c r="V34" s="49">
        <f>RTD("wdf.rtq", ,"TME.N", "rt_last","RT_Price")</f>
        <v>14.89</v>
      </c>
      <c r="W34" s="49">
        <f>AR29*AF7</f>
        <v>106.13239817827937</v>
      </c>
      <c r="X34" s="49">
        <f t="shared" si="3"/>
        <v>10613.239817827938</v>
      </c>
    </row>
    <row r="35" spans="1:49" ht="12.75" x14ac:dyDescent="0.2">
      <c r="A35" s="3">
        <v>45496</v>
      </c>
      <c r="B35" s="5" t="s">
        <v>24</v>
      </c>
      <c r="C35" s="5" t="s">
        <v>25</v>
      </c>
      <c r="D35" s="57">
        <v>56</v>
      </c>
      <c r="E35" s="5" t="s">
        <v>16</v>
      </c>
      <c r="F35" s="57">
        <v>10</v>
      </c>
      <c r="G35" s="20">
        <v>5447.32</v>
      </c>
      <c r="H35" s="55"/>
      <c r="I35" s="49"/>
      <c r="M35" s="94" t="str">
        <f>[1]!s_info_name(N35)</f>
        <v>唯品会</v>
      </c>
      <c r="N35" s="94" t="s">
        <v>24</v>
      </c>
      <c r="O35" s="49">
        <f t="shared" si="4"/>
        <v>99.084315000000004</v>
      </c>
      <c r="P35" s="95">
        <f t="shared" si="1"/>
        <v>5548.7216399999998</v>
      </c>
      <c r="Q35" s="95"/>
      <c r="R35" s="95"/>
      <c r="V35" s="49">
        <f>RTD("wdf.rtq", ,"VIPS.N", "rt_last","RT_Price")</f>
        <v>13.89</v>
      </c>
      <c r="W35" s="49">
        <f>V35*(1+$AY$28)*$AF$7</f>
        <v>99.597164105066184</v>
      </c>
      <c r="X35" s="49">
        <f t="shared" si="3"/>
        <v>5577.4411898837061</v>
      </c>
    </row>
    <row r="36" spans="1:49" ht="12.75" x14ac:dyDescent="0.2">
      <c r="A36" s="3">
        <v>45496</v>
      </c>
      <c r="B36" s="5" t="s">
        <v>26</v>
      </c>
      <c r="C36" s="5" t="s">
        <v>27</v>
      </c>
      <c r="D36" s="57">
        <v>14</v>
      </c>
      <c r="E36" s="5" t="s">
        <v>17</v>
      </c>
      <c r="F36" s="57">
        <v>0</v>
      </c>
      <c r="G36" s="20">
        <v>763.78</v>
      </c>
      <c r="H36" s="55"/>
      <c r="I36" s="49"/>
      <c r="M36" s="94" t="str">
        <f>[1]!s_info_name(N36)</f>
        <v>微博</v>
      </c>
      <c r="N36" s="94" t="s">
        <v>26</v>
      </c>
      <c r="O36" s="49">
        <f t="shared" si="4"/>
        <v>56.711325000000002</v>
      </c>
      <c r="P36" s="95">
        <f t="shared" si="1"/>
        <v>793.95855000000006</v>
      </c>
      <c r="Q36" s="95"/>
      <c r="R36" s="95"/>
      <c r="V36" s="49">
        <f>RTD("wdf.rtq", ,"WB.O", "rt_last","RT_Price")</f>
        <v>7.95</v>
      </c>
      <c r="W36" s="49">
        <f>AS29*AF7</f>
        <v>57.399084528375852</v>
      </c>
      <c r="X36" s="49">
        <f t="shared" si="3"/>
        <v>803.58718339726192</v>
      </c>
    </row>
    <row r="37" spans="1:49" ht="12.75" x14ac:dyDescent="0.2">
      <c r="A37" s="3">
        <v>45496</v>
      </c>
      <c r="B37" s="5" t="s">
        <v>193</v>
      </c>
      <c r="C37" s="5" t="s">
        <v>197</v>
      </c>
      <c r="D37" s="57">
        <v>153</v>
      </c>
      <c r="E37" s="5" t="s">
        <v>16</v>
      </c>
      <c r="F37" s="57">
        <v>10</v>
      </c>
      <c r="G37" s="20">
        <v>8619.84</v>
      </c>
      <c r="H37" s="55"/>
      <c r="I37" s="49"/>
      <c r="M37" s="94" t="str">
        <f>[1]!s_info_name(N37)</f>
        <v>满帮集团</v>
      </c>
      <c r="N37" s="94" t="s">
        <v>193</v>
      </c>
      <c r="O37" s="49">
        <f t="shared" si="4"/>
        <v>56.78266</v>
      </c>
      <c r="P37" s="95">
        <f t="shared" si="1"/>
        <v>8687.7469799999999</v>
      </c>
      <c r="Q37" s="95"/>
      <c r="R37" s="95"/>
      <c r="V37" s="49">
        <f>RTD("wdf.rtq", ,"YMM.N", "rt_last","RT_Price")</f>
        <v>7.96</v>
      </c>
      <c r="W37" s="49">
        <f>V37*(1+$AY$28)*$AF$7</f>
        <v>57.076560567050166</v>
      </c>
      <c r="X37" s="49">
        <f t="shared" si="3"/>
        <v>8732.7137667586758</v>
      </c>
    </row>
    <row r="38" spans="1:49" ht="12.75" x14ac:dyDescent="0.2">
      <c r="A38" s="3">
        <v>45496</v>
      </c>
      <c r="B38" s="5" t="s">
        <v>28</v>
      </c>
      <c r="C38" s="5" t="s">
        <v>162</v>
      </c>
      <c r="D38" s="57">
        <v>5</v>
      </c>
      <c r="E38" s="5" t="s">
        <v>16</v>
      </c>
      <c r="F38" s="57">
        <v>10</v>
      </c>
      <c r="G38" s="20">
        <v>1200.5899999999999</v>
      </c>
      <c r="H38" s="55"/>
      <c r="I38" s="49"/>
      <c r="M38" s="94" t="str">
        <f>[1]!s_info_name(N38)</f>
        <v>欢聚</v>
      </c>
      <c r="N38" s="94" t="s">
        <v>28</v>
      </c>
      <c r="O38" s="49">
        <f t="shared" si="4"/>
        <v>245.39239999999998</v>
      </c>
      <c r="P38" s="95">
        <f t="shared" si="1"/>
        <v>1226.962</v>
      </c>
      <c r="Q38" s="95"/>
      <c r="R38" s="95"/>
      <c r="V38" s="49">
        <f>RTD("wdf.rtq", ,"YY.O", "rt_last","RT_Price")</f>
        <v>34.4</v>
      </c>
      <c r="W38" s="49">
        <f>V38*(1+$AY$28)*$AF$7</f>
        <v>246.66252305358361</v>
      </c>
      <c r="X38" s="49">
        <f t="shared" si="3"/>
        <v>1233.3126152679181</v>
      </c>
    </row>
    <row r="39" spans="1:49" ht="12.75" x14ac:dyDescent="0.2">
      <c r="A39"/>
      <c r="B39"/>
      <c r="C39"/>
      <c r="D39"/>
      <c r="E39"/>
      <c r="F39"/>
      <c r="G39" s="91"/>
      <c r="H39" s="56"/>
      <c r="I39" s="56"/>
    </row>
    <row r="40" spans="1:49" ht="12.75" x14ac:dyDescent="0.2">
      <c r="A40"/>
      <c r="B40"/>
      <c r="C40"/>
      <c r="D40"/>
      <c r="E40"/>
      <c r="F40"/>
      <c r="G40"/>
      <c r="H40" s="70"/>
      <c r="I40" s="70"/>
    </row>
    <row r="42" spans="1:49" x14ac:dyDescent="0.2">
      <c r="O42" s="94"/>
      <c r="P42" s="94"/>
      <c r="Q42" s="50"/>
      <c r="R42" s="50"/>
    </row>
    <row r="43" spans="1:49" x14ac:dyDescent="0.2">
      <c r="H43" s="94" t="s">
        <v>335</v>
      </c>
      <c r="I43" s="99">
        <f>[1]!s_dq_close(N6,$N$1,1)</f>
        <v>3.33</v>
      </c>
      <c r="M43" s="94"/>
      <c r="N43" s="94"/>
      <c r="O43" s="94"/>
      <c r="P43" s="94"/>
      <c r="Q43" s="95"/>
      <c r="R43" s="95"/>
    </row>
    <row r="44" spans="1:49" x14ac:dyDescent="0.2">
      <c r="H44" s="94" t="s">
        <v>374</v>
      </c>
      <c r="I44" s="99">
        <f>[1]!s_dq_close(N7,$N$1,1)</f>
        <v>373.2</v>
      </c>
      <c r="O44" s="94"/>
      <c r="P44" s="94"/>
      <c r="Q44" s="95"/>
      <c r="R44" s="94"/>
      <c r="AN44" s="94"/>
      <c r="AO44" s="94"/>
      <c r="AP44" s="50"/>
      <c r="AQ44" s="50"/>
      <c r="AR44" s="50"/>
      <c r="AS44" s="50"/>
      <c r="AT44" s="50"/>
    </row>
    <row r="45" spans="1:49" x14ac:dyDescent="0.2">
      <c r="H45" s="94" t="s">
        <v>375</v>
      </c>
      <c r="I45" s="99">
        <f>[1]!s_dq_close(N8,$N$1,1)</f>
        <v>26.35</v>
      </c>
      <c r="O45" s="94"/>
      <c r="P45" s="94"/>
      <c r="Q45" s="95"/>
      <c r="R45" s="94"/>
      <c r="AJ45" s="94"/>
      <c r="AK45" s="94"/>
      <c r="AL45" s="94"/>
      <c r="AN45" s="94"/>
      <c r="AO45" s="94"/>
      <c r="AP45" s="95"/>
      <c r="AQ45" s="95"/>
      <c r="AR45" s="95"/>
      <c r="AS45" s="95"/>
      <c r="AT45" s="95"/>
    </row>
    <row r="46" spans="1:49" ht="12.75" x14ac:dyDescent="0.2">
      <c r="H46" s="100" t="s">
        <v>376</v>
      </c>
      <c r="I46" s="99">
        <f>[1]!s_dq_close(N9,$N$1,1)</f>
        <v>13.98</v>
      </c>
      <c r="O46" s="94"/>
      <c r="P46" s="94"/>
      <c r="Q46" s="94"/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N46" s="94"/>
      <c r="AO46" s="94"/>
      <c r="AP46" s="95"/>
      <c r="AQ46" s="95"/>
      <c r="AR46" s="95"/>
      <c r="AS46" s="95"/>
      <c r="AT46" s="95"/>
    </row>
    <row r="47" spans="1:49" x14ac:dyDescent="0.2">
      <c r="H47" s="94" t="s">
        <v>189</v>
      </c>
      <c r="I47" s="99">
        <f>[1]!s_dq_close(N10,$N$1,1)</f>
        <v>45.45</v>
      </c>
      <c r="Q47" s="94"/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N47" s="94"/>
      <c r="AO47" s="94"/>
      <c r="AP47" s="95"/>
      <c r="AQ47" s="95"/>
      <c r="AR47" s="95"/>
      <c r="AS47" s="95"/>
      <c r="AT47" s="95"/>
    </row>
    <row r="48" spans="1:49" x14ac:dyDescent="0.2">
      <c r="H48" s="94" t="s">
        <v>276</v>
      </c>
      <c r="I48" s="99">
        <f>[1]!s_dq_close(N11,$N$1,1)</f>
        <v>11.72</v>
      </c>
      <c r="Q48" s="50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  <c r="AC48" s="95"/>
      <c r="AD48" s="95"/>
      <c r="AE48" s="95"/>
      <c r="AF48" s="95"/>
      <c r="AG48" s="95"/>
      <c r="AN48" s="94"/>
      <c r="AO48" s="94"/>
      <c r="AP48" s="95"/>
      <c r="AQ48" s="95"/>
      <c r="AR48" s="95"/>
      <c r="AS48" s="95"/>
      <c r="AT48" s="95"/>
    </row>
    <row r="49" spans="8:46" x14ac:dyDescent="0.2">
      <c r="H49" s="94" t="s">
        <v>172</v>
      </c>
      <c r="I49" s="99">
        <f>[1]!s_dq_close(N12,$N$1,1)</f>
        <v>17.22</v>
      </c>
      <c r="Q49" s="50"/>
      <c r="R49" s="95"/>
      <c r="S49" s="95"/>
      <c r="T49" s="95"/>
      <c r="U49" s="95"/>
      <c r="V49" s="95"/>
      <c r="W49" s="95"/>
      <c r="X49" s="95"/>
      <c r="Y49" s="95"/>
      <c r="Z49" s="95"/>
      <c r="AA49" s="95"/>
      <c r="AB49" s="95"/>
      <c r="AC49" s="95"/>
      <c r="AD49" s="95"/>
      <c r="AE49" s="95"/>
      <c r="AF49" s="95"/>
      <c r="AG49" s="95"/>
      <c r="AN49" s="94"/>
      <c r="AO49" s="94"/>
      <c r="AP49" s="95"/>
      <c r="AQ49" s="95"/>
      <c r="AR49" s="95"/>
      <c r="AS49" s="95"/>
      <c r="AT49" s="95"/>
    </row>
    <row r="50" spans="8:46" x14ac:dyDescent="0.2">
      <c r="H50" s="94" t="s">
        <v>166</v>
      </c>
      <c r="I50" s="99">
        <f>[1]!s_dq_close(N13,$N$1,1)</f>
        <v>11.44</v>
      </c>
      <c r="Q50" s="50"/>
      <c r="R50" s="95"/>
      <c r="S50" s="95"/>
      <c r="T50" s="95"/>
      <c r="U50" s="95"/>
      <c r="V50" s="95"/>
      <c r="W50" s="95"/>
    </row>
    <row r="51" spans="8:46" x14ac:dyDescent="0.2">
      <c r="H51" s="94" t="s">
        <v>132</v>
      </c>
      <c r="I51" s="99">
        <f>[1]!s_dq_close(N14,$N$1,1)</f>
        <v>121.3</v>
      </c>
      <c r="Q51" s="50"/>
      <c r="R51" s="95"/>
      <c r="S51" s="95"/>
      <c r="T51" s="95"/>
      <c r="U51" s="95"/>
      <c r="V51" s="95"/>
      <c r="W51" s="95"/>
    </row>
    <row r="52" spans="8:46" x14ac:dyDescent="0.2">
      <c r="H52" s="94" t="s">
        <v>18</v>
      </c>
      <c r="I52" s="99">
        <f>[1]!s_dq_close(N15,$N$1,1)</f>
        <v>22.7</v>
      </c>
    </row>
    <row r="53" spans="8:46" x14ac:dyDescent="0.2">
      <c r="H53" s="94" t="s">
        <v>181</v>
      </c>
      <c r="I53" s="99">
        <f>[1]!s_dq_close(N16,$N$1,1)</f>
        <v>12.9</v>
      </c>
    </row>
    <row r="54" spans="8:46" x14ac:dyDescent="0.2">
      <c r="H54" s="94" t="s">
        <v>183</v>
      </c>
      <c r="I54" s="99">
        <f>[1]!s_dq_close(N17,$N$1,1)</f>
        <v>21.1</v>
      </c>
    </row>
    <row r="55" spans="8:46" x14ac:dyDescent="0.2">
      <c r="H55" s="94" t="s">
        <v>253</v>
      </c>
      <c r="I55" s="99">
        <f>[1]!s_dq_close(N18,$N$1,1)</f>
        <v>104.1</v>
      </c>
    </row>
    <row r="56" spans="8:46" x14ac:dyDescent="0.2">
      <c r="H56" s="94" t="s">
        <v>255</v>
      </c>
      <c r="I56" s="99">
        <f>[1]!s_dq_close(N19,$N$1,1)</f>
        <v>119.6</v>
      </c>
    </row>
    <row r="57" spans="8:46" x14ac:dyDescent="0.2">
      <c r="H57" s="94" t="s">
        <v>302</v>
      </c>
      <c r="I57" s="99">
        <f>[1]!s_dq_close(N20,$N$1,1)</f>
        <v>7.96</v>
      </c>
    </row>
    <row r="58" spans="8:46" x14ac:dyDescent="0.2">
      <c r="H58" s="94" t="s">
        <v>256</v>
      </c>
      <c r="I58" s="99">
        <f>[1]!s_dq_close(N21,$N$1,1)</f>
        <v>89.45</v>
      </c>
    </row>
    <row r="59" spans="8:46" x14ac:dyDescent="0.2">
      <c r="H59" s="94" t="s">
        <v>304</v>
      </c>
      <c r="I59" s="99">
        <f>[1]!s_dq_close(N22,$N$1,1)</f>
        <v>12.54</v>
      </c>
    </row>
    <row r="60" spans="8:46" x14ac:dyDescent="0.2">
      <c r="H60" s="94" t="s">
        <v>258</v>
      </c>
      <c r="I60" s="99">
        <f>[1]!s_dq_close(N23,$N$1,1)</f>
        <v>361.8</v>
      </c>
    </row>
    <row r="61" spans="8:46" x14ac:dyDescent="0.2">
      <c r="H61" s="94" t="s">
        <v>260</v>
      </c>
      <c r="I61" s="99">
        <f>[1]!s_dq_close(N24,$N$1,1)</f>
        <v>74.75</v>
      </c>
    </row>
    <row r="62" spans="8:46" x14ac:dyDescent="0.2">
      <c r="H62" s="94" t="s">
        <v>262</v>
      </c>
      <c r="I62" s="99">
        <f>[1]!s_dq_close(N25,$N$1,1)</f>
        <v>144.69999999999999</v>
      </c>
    </row>
    <row r="63" spans="8:46" x14ac:dyDescent="0.2">
      <c r="H63" s="94" t="s">
        <v>336</v>
      </c>
      <c r="I63" s="99">
        <f>[1]!s_dq_close(N26,$N$1,1)</f>
        <v>24.98</v>
      </c>
    </row>
    <row r="64" spans="8:46" x14ac:dyDescent="0.2">
      <c r="H64" s="94" t="s">
        <v>337</v>
      </c>
      <c r="I64" s="99">
        <f>[1]!s_dq_close(N27,$N$1,1)</f>
        <v>14.32</v>
      </c>
    </row>
    <row r="65" spans="8:9" x14ac:dyDescent="0.2">
      <c r="H65" s="94" t="s">
        <v>231</v>
      </c>
      <c r="I65" s="99">
        <f>[1]!s_dq_close(N28,$N$1,1)</f>
        <v>16.05</v>
      </c>
    </row>
    <row r="66" spans="8:9" x14ac:dyDescent="0.2">
      <c r="H66" s="94" t="s">
        <v>29</v>
      </c>
      <c r="I66" s="99">
        <f>[1]!s_dq_close(N29,$N$1,1)</f>
        <v>3.38</v>
      </c>
    </row>
    <row r="67" spans="8:9" x14ac:dyDescent="0.2">
      <c r="H67" s="94" t="s">
        <v>180</v>
      </c>
      <c r="I67" s="99">
        <f>[1]!s_dq_close(N30,$N$1,1)</f>
        <v>2.89</v>
      </c>
    </row>
    <row r="68" spans="8:9" x14ac:dyDescent="0.2">
      <c r="H68" s="94" t="s">
        <v>150</v>
      </c>
      <c r="I68" s="99">
        <f>[1]!s_dq_close(N31,$N$1,1)</f>
        <v>134.24</v>
      </c>
    </row>
    <row r="69" spans="8:9" x14ac:dyDescent="0.2">
      <c r="H69" s="94" t="s">
        <v>192</v>
      </c>
      <c r="I69" s="99">
        <f>[1]!s_dq_close(N32,$N$1,1)</f>
        <v>19.43</v>
      </c>
    </row>
    <row r="70" spans="8:9" x14ac:dyDescent="0.2">
      <c r="H70" s="94" t="s">
        <v>22</v>
      </c>
      <c r="I70" s="99">
        <f>[1]!s_dq_close(N33,$N$1,1)</f>
        <v>10.89</v>
      </c>
    </row>
    <row r="71" spans="8:9" x14ac:dyDescent="0.2">
      <c r="H71" s="94" t="s">
        <v>153</v>
      </c>
      <c r="I71" s="99">
        <f>[1]!s_dq_close(N34,$N$1,1)</f>
        <v>14.89</v>
      </c>
    </row>
    <row r="72" spans="8:9" x14ac:dyDescent="0.2">
      <c r="H72" s="94" t="s">
        <v>24</v>
      </c>
      <c r="I72" s="99">
        <f>[1]!s_dq_close(N35,$N$1,1)</f>
        <v>13.89</v>
      </c>
    </row>
    <row r="73" spans="8:9" x14ac:dyDescent="0.2">
      <c r="H73" s="94" t="s">
        <v>26</v>
      </c>
      <c r="I73" s="99">
        <f>[1]!s_dq_close(N36,$N$1,1)</f>
        <v>7.95</v>
      </c>
    </row>
    <row r="74" spans="8:9" x14ac:dyDescent="0.2">
      <c r="H74" s="94" t="s">
        <v>193</v>
      </c>
      <c r="I74" s="99">
        <f>[1]!s_dq_close(N37,$N$1,1)</f>
        <v>7.96</v>
      </c>
    </row>
    <row r="75" spans="8:9" x14ac:dyDescent="0.2">
      <c r="H75" s="94" t="s">
        <v>28</v>
      </c>
      <c r="I75" s="99">
        <f>[1]!s_dq_close(N38,$N$1,1)</f>
        <v>34.4</v>
      </c>
    </row>
    <row r="76" spans="8:9" x14ac:dyDescent="0.2">
      <c r="I76" s="99"/>
    </row>
    <row r="77" spans="8:9" x14ac:dyDescent="0.2">
      <c r="I77" s="99"/>
    </row>
    <row r="78" spans="8:9" x14ac:dyDescent="0.2">
      <c r="I78" s="99"/>
    </row>
    <row r="79" spans="8:9" x14ac:dyDescent="0.2">
      <c r="I79" s="99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110"/>
  <sheetViews>
    <sheetView zoomScaleNormal="100" workbookViewId="0">
      <selection activeCell="P13" sqref="P13"/>
    </sheetView>
  </sheetViews>
  <sheetFormatPr defaultRowHeight="12.75" x14ac:dyDescent="0.2"/>
  <cols>
    <col min="1" max="1" width="13.7109375" customWidth="1"/>
    <col min="2" max="2" width="12.7109375" customWidth="1"/>
    <col min="3" max="3" width="44.7109375" bestFit="1" customWidth="1"/>
    <col min="4" max="4" width="10.7109375" customWidth="1"/>
    <col min="5" max="5" width="11.7109375" customWidth="1"/>
    <col min="6" max="6" width="15.7109375" customWidth="1"/>
    <col min="7" max="7" width="13.7109375" style="19" customWidth="1"/>
    <col min="8" max="8" width="12.5703125" style="6" customWidth="1"/>
    <col min="9" max="9" width="12.28515625" style="6" customWidth="1"/>
    <col min="10" max="10" width="15.85546875" style="6" customWidth="1"/>
  </cols>
  <sheetData>
    <row r="1" spans="1:11" ht="25.5" x14ac:dyDescent="0.2">
      <c r="A1" s="77" t="s">
        <v>0</v>
      </c>
      <c r="B1" s="78" t="s">
        <v>1</v>
      </c>
      <c r="C1" s="76"/>
      <c r="D1" s="1"/>
      <c r="E1" s="2"/>
      <c r="F1" s="2"/>
      <c r="G1" s="2"/>
      <c r="I1" s="22"/>
      <c r="J1" s="22"/>
    </row>
    <row r="2" spans="1:11" x14ac:dyDescent="0.2">
      <c r="A2" s="75" t="s">
        <v>157</v>
      </c>
      <c r="B2" s="5" t="s">
        <v>383</v>
      </c>
      <c r="C2" s="3"/>
      <c r="E2" s="4"/>
      <c r="F2" s="5" t="s">
        <v>315</v>
      </c>
      <c r="G2" s="3">
        <v>45485</v>
      </c>
      <c r="H2" s="4"/>
      <c r="I2" s="4"/>
      <c r="J2" s="4"/>
      <c r="K2" s="92">
        <v>45488</v>
      </c>
    </row>
    <row r="3" spans="1:11" x14ac:dyDescent="0.2">
      <c r="A3" s="77" t="s">
        <v>3</v>
      </c>
      <c r="B3" s="5" t="s">
        <v>131</v>
      </c>
    </row>
    <row r="4" spans="1:11" x14ac:dyDescent="0.2">
      <c r="A4" t="s">
        <v>4</v>
      </c>
      <c r="B4" s="5" t="s">
        <v>32</v>
      </c>
      <c r="C4" t="s">
        <v>6</v>
      </c>
      <c r="D4" t="s">
        <v>7</v>
      </c>
      <c r="E4" t="s">
        <v>8</v>
      </c>
      <c r="F4" t="s">
        <v>9</v>
      </c>
      <c r="G4" s="19" t="s">
        <v>10</v>
      </c>
    </row>
    <row r="5" spans="1:11" ht="25.5" x14ac:dyDescent="0.2">
      <c r="A5" s="77" t="s">
        <v>2</v>
      </c>
      <c r="B5" s="77" t="s">
        <v>3</v>
      </c>
      <c r="C5" s="77" t="s">
        <v>11</v>
      </c>
      <c r="D5" s="77" t="s">
        <v>12</v>
      </c>
      <c r="E5" s="79" t="s">
        <v>13</v>
      </c>
      <c r="F5" s="79" t="s">
        <v>14</v>
      </c>
      <c r="G5" s="80" t="s">
        <v>15</v>
      </c>
      <c r="H5" s="81"/>
      <c r="I5" s="81"/>
      <c r="J5" s="81"/>
    </row>
    <row r="6" spans="1:11" x14ac:dyDescent="0.2">
      <c r="A6" s="3">
        <f>[1]!wset("etfconstituent","date="&amp;B2,"windcode="&amp;B3,"field=date,wind_code,sec_name,volume,cash_substitution_mark,cash_substitution_premium_ratio,fixed_substitution_amount","cols=7;rows=102","cols=7;rows=101")</f>
        <v>45492</v>
      </c>
      <c r="B6" s="5" t="s">
        <v>317</v>
      </c>
      <c r="C6" s="5" t="s">
        <v>318</v>
      </c>
      <c r="D6" s="57">
        <v>79</v>
      </c>
      <c r="E6" s="5" t="s">
        <v>319</v>
      </c>
      <c r="F6" s="57">
        <v>10</v>
      </c>
      <c r="G6" s="20">
        <v>128953.78</v>
      </c>
      <c r="I6" s="101">
        <f>[1]!s_dq_close(B6,$F$2,1)</f>
        <v>234.82</v>
      </c>
      <c r="J6" s="4">
        <f>[1]!s_dq_high(B6,$F$2,1)</f>
        <v>236.27</v>
      </c>
    </row>
    <row r="7" spans="1:11" x14ac:dyDescent="0.2">
      <c r="A7" s="3">
        <v>45492</v>
      </c>
      <c r="B7" s="5" t="s">
        <v>233</v>
      </c>
      <c r="C7" s="5" t="s">
        <v>234</v>
      </c>
      <c r="D7" s="57">
        <v>6</v>
      </c>
      <c r="E7" s="5" t="s">
        <v>16</v>
      </c>
      <c r="F7" s="57">
        <v>10</v>
      </c>
      <c r="G7" s="20">
        <v>6333.04</v>
      </c>
      <c r="I7" s="101">
        <f t="shared" ref="I7:I70" si="0">[1]!s_dq_close(B7,$F$2,1)</f>
        <v>151.26</v>
      </c>
      <c r="J7" s="4">
        <f t="shared" ref="J7:J70" si="1">[1]!s_dq_high(B7,$F$2,1)</f>
        <v>151.63999999999999</v>
      </c>
    </row>
    <row r="8" spans="1:11" x14ac:dyDescent="0.2">
      <c r="A8" s="3">
        <v>45492</v>
      </c>
      <c r="B8" s="5" t="s">
        <v>33</v>
      </c>
      <c r="C8" s="5" t="s">
        <v>133</v>
      </c>
      <c r="D8" s="57">
        <v>6</v>
      </c>
      <c r="E8" s="5" t="s">
        <v>16</v>
      </c>
      <c r="F8" s="57">
        <v>10</v>
      </c>
      <c r="G8" s="20">
        <v>24095.07</v>
      </c>
      <c r="I8" s="101">
        <f t="shared" si="0"/>
        <v>566.54</v>
      </c>
      <c r="J8" s="4">
        <f t="shared" si="1"/>
        <v>570.1</v>
      </c>
    </row>
    <row r="9" spans="1:11" x14ac:dyDescent="0.2">
      <c r="A9" s="3">
        <v>45492</v>
      </c>
      <c r="B9" s="5" t="s">
        <v>34</v>
      </c>
      <c r="C9" s="5" t="s">
        <v>35</v>
      </c>
      <c r="D9" s="57">
        <v>7</v>
      </c>
      <c r="E9" s="5" t="s">
        <v>16</v>
      </c>
      <c r="F9" s="57">
        <v>10</v>
      </c>
      <c r="G9" s="20">
        <v>11762.26</v>
      </c>
      <c r="I9" s="101">
        <f t="shared" si="0"/>
        <v>243.33</v>
      </c>
      <c r="J9" s="4">
        <f t="shared" si="1"/>
        <v>243.83</v>
      </c>
    </row>
    <row r="10" spans="1:11" x14ac:dyDescent="0.2">
      <c r="A10" s="3">
        <v>45492</v>
      </c>
      <c r="B10" s="5" t="s">
        <v>36</v>
      </c>
      <c r="C10" s="5" t="s">
        <v>37</v>
      </c>
      <c r="D10" s="57">
        <v>5</v>
      </c>
      <c r="E10" s="5" t="s">
        <v>16</v>
      </c>
      <c r="F10" s="57">
        <v>10</v>
      </c>
      <c r="G10" s="20">
        <v>8888.01</v>
      </c>
      <c r="I10" s="101">
        <f t="shared" si="0"/>
        <v>245.82</v>
      </c>
      <c r="J10" s="4">
        <f t="shared" si="1"/>
        <v>246.57</v>
      </c>
    </row>
    <row r="11" spans="1:11" x14ac:dyDescent="0.2">
      <c r="A11" s="3">
        <v>45492</v>
      </c>
      <c r="B11" s="5" t="s">
        <v>38</v>
      </c>
      <c r="C11" s="5" t="s">
        <v>39</v>
      </c>
      <c r="D11" s="57">
        <v>3</v>
      </c>
      <c r="E11" s="5" t="s">
        <v>16</v>
      </c>
      <c r="F11" s="57">
        <v>10</v>
      </c>
      <c r="G11" s="20">
        <v>5352.7</v>
      </c>
      <c r="I11" s="101">
        <f t="shared" si="0"/>
        <v>253.82</v>
      </c>
      <c r="J11" s="4">
        <f t="shared" si="1"/>
        <v>256.05</v>
      </c>
    </row>
    <row r="12" spans="1:11" x14ac:dyDescent="0.2">
      <c r="A12" s="3">
        <v>45492</v>
      </c>
      <c r="B12" s="5" t="s">
        <v>176</v>
      </c>
      <c r="C12" s="5" t="s">
        <v>122</v>
      </c>
      <c r="D12" s="57">
        <v>7</v>
      </c>
      <c r="E12" s="5" t="s">
        <v>16</v>
      </c>
      <c r="F12" s="57">
        <v>10</v>
      </c>
      <c r="G12" s="20">
        <v>4668.76</v>
      </c>
      <c r="I12" s="101">
        <f t="shared" si="0"/>
        <v>91.85</v>
      </c>
      <c r="J12" s="4">
        <f t="shared" si="1"/>
        <v>92.01</v>
      </c>
    </row>
    <row r="13" spans="1:11" x14ac:dyDescent="0.2">
      <c r="A13" s="3">
        <v>45492</v>
      </c>
      <c r="B13" s="5" t="s">
        <v>40</v>
      </c>
      <c r="C13" s="5" t="s">
        <v>213</v>
      </c>
      <c r="D13" s="57">
        <v>11</v>
      </c>
      <c r="E13" s="5" t="s">
        <v>16</v>
      </c>
      <c r="F13" s="57">
        <v>10</v>
      </c>
      <c r="G13" s="20">
        <v>17264.45</v>
      </c>
      <c r="I13" s="101">
        <f t="shared" si="0"/>
        <v>245.84</v>
      </c>
      <c r="J13" s="4">
        <f t="shared" si="1"/>
        <v>247.52</v>
      </c>
    </row>
    <row r="14" spans="1:11" x14ac:dyDescent="0.2">
      <c r="A14" s="3">
        <v>45492</v>
      </c>
      <c r="B14" s="5" t="s">
        <v>123</v>
      </c>
      <c r="C14" s="5" t="s">
        <v>124</v>
      </c>
      <c r="D14" s="57">
        <v>22</v>
      </c>
      <c r="E14" s="5" t="s">
        <v>16</v>
      </c>
      <c r="F14" s="57">
        <v>10</v>
      </c>
      <c r="G14" s="20">
        <v>25014.5</v>
      </c>
      <c r="I14" s="101">
        <f t="shared" si="0"/>
        <v>177.55</v>
      </c>
      <c r="J14" s="4">
        <f t="shared" si="1"/>
        <v>179.75</v>
      </c>
    </row>
    <row r="15" spans="1:11" x14ac:dyDescent="0.2">
      <c r="A15" s="3">
        <v>45492</v>
      </c>
      <c r="B15" s="5" t="s">
        <v>41</v>
      </c>
      <c r="C15" s="5" t="s">
        <v>42</v>
      </c>
      <c r="D15" s="57">
        <v>7</v>
      </c>
      <c r="E15" s="5" t="s">
        <v>16</v>
      </c>
      <c r="F15" s="57">
        <v>10</v>
      </c>
      <c r="G15" s="20">
        <v>16757.52</v>
      </c>
      <c r="I15" s="101">
        <f t="shared" si="0"/>
        <v>333.14</v>
      </c>
      <c r="J15" s="4">
        <f t="shared" si="1"/>
        <v>335.91</v>
      </c>
    </row>
    <row r="16" spans="1:11" x14ac:dyDescent="0.2">
      <c r="A16" s="3">
        <v>45492</v>
      </c>
      <c r="B16" s="5" t="s">
        <v>43</v>
      </c>
      <c r="C16" s="5" t="s">
        <v>44</v>
      </c>
      <c r="D16" s="57">
        <v>54</v>
      </c>
      <c r="E16" s="5" t="s">
        <v>16</v>
      </c>
      <c r="F16" s="57">
        <v>10</v>
      </c>
      <c r="G16" s="20">
        <v>72375.08</v>
      </c>
      <c r="I16" s="101">
        <f t="shared" si="0"/>
        <v>193.02</v>
      </c>
      <c r="J16" s="4">
        <f t="shared" si="1"/>
        <v>196.62</v>
      </c>
    </row>
    <row r="17" spans="1:10" x14ac:dyDescent="0.2">
      <c r="A17" s="3">
        <v>45492</v>
      </c>
      <c r="B17" s="5" t="s">
        <v>125</v>
      </c>
      <c r="C17" s="5" t="s">
        <v>214</v>
      </c>
      <c r="D17" s="57">
        <v>1</v>
      </c>
      <c r="E17" s="5" t="s">
        <v>16</v>
      </c>
      <c r="F17" s="57">
        <v>10</v>
      </c>
      <c r="G17" s="20">
        <v>2283.8200000000002</v>
      </c>
      <c r="I17" s="101">
        <f t="shared" si="0"/>
        <v>330.37</v>
      </c>
      <c r="J17" s="4">
        <f t="shared" si="1"/>
        <v>331.49</v>
      </c>
    </row>
    <row r="18" spans="1:10" x14ac:dyDescent="0.2">
      <c r="A18" s="3">
        <v>45492</v>
      </c>
      <c r="B18" s="5" t="s">
        <v>286</v>
      </c>
      <c r="C18" s="5" t="s">
        <v>287</v>
      </c>
      <c r="D18" s="57">
        <v>2</v>
      </c>
      <c r="E18" s="5" t="s">
        <v>16</v>
      </c>
      <c r="F18" s="57">
        <v>10</v>
      </c>
      <c r="G18" s="20">
        <v>2306.42</v>
      </c>
      <c r="I18" s="101">
        <f t="shared" si="0"/>
        <v>178.77</v>
      </c>
      <c r="J18" s="4">
        <f t="shared" si="1"/>
        <v>180.95</v>
      </c>
    </row>
    <row r="19" spans="1:10" x14ac:dyDescent="0.2">
      <c r="A19" s="3">
        <v>45492</v>
      </c>
      <c r="B19" s="5" t="s">
        <v>45</v>
      </c>
      <c r="C19" s="5" t="s">
        <v>46</v>
      </c>
      <c r="D19" s="57">
        <v>1</v>
      </c>
      <c r="E19" s="5" t="s">
        <v>16</v>
      </c>
      <c r="F19" s="57">
        <v>10</v>
      </c>
      <c r="G19" s="20">
        <v>6647.23</v>
      </c>
      <c r="I19" s="101">
        <f t="shared" si="0"/>
        <v>1068.19</v>
      </c>
      <c r="J19" s="4">
        <f t="shared" si="1"/>
        <v>1077.05</v>
      </c>
    </row>
    <row r="20" spans="1:10" x14ac:dyDescent="0.2">
      <c r="A20" s="3">
        <v>45492</v>
      </c>
      <c r="B20" s="5" t="s">
        <v>47</v>
      </c>
      <c r="C20" s="5" t="s">
        <v>48</v>
      </c>
      <c r="D20" s="57">
        <v>62</v>
      </c>
      <c r="E20" s="5" t="s">
        <v>16</v>
      </c>
      <c r="F20" s="57">
        <v>10</v>
      </c>
      <c r="G20" s="20">
        <v>68969.929999999993</v>
      </c>
      <c r="I20" s="101">
        <f t="shared" si="0"/>
        <v>169.375</v>
      </c>
      <c r="J20" s="4">
        <f t="shared" si="1"/>
        <v>172.81</v>
      </c>
    </row>
    <row r="21" spans="1:10" x14ac:dyDescent="0.2">
      <c r="A21" s="3">
        <v>45492</v>
      </c>
      <c r="B21" s="5" t="s">
        <v>250</v>
      </c>
      <c r="C21" s="5" t="s">
        <v>251</v>
      </c>
      <c r="D21" s="57">
        <v>8</v>
      </c>
      <c r="E21" s="5" t="s">
        <v>16</v>
      </c>
      <c r="F21" s="57">
        <v>10</v>
      </c>
      <c r="G21" s="20">
        <v>4550.66</v>
      </c>
      <c r="I21" s="101">
        <f t="shared" si="0"/>
        <v>78.59</v>
      </c>
      <c r="J21" s="4">
        <f t="shared" si="1"/>
        <v>78.69</v>
      </c>
    </row>
    <row r="22" spans="1:10" x14ac:dyDescent="0.2">
      <c r="A22" s="3">
        <v>45492</v>
      </c>
      <c r="B22" s="5" t="s">
        <v>49</v>
      </c>
      <c r="C22" s="5" t="s">
        <v>50</v>
      </c>
      <c r="D22" s="57">
        <v>2</v>
      </c>
      <c r="E22" s="5" t="s">
        <v>16</v>
      </c>
      <c r="F22" s="57">
        <v>10</v>
      </c>
      <c r="G22" s="20">
        <v>3256.81</v>
      </c>
      <c r="I22" s="101">
        <f t="shared" si="0"/>
        <v>225.02</v>
      </c>
      <c r="J22" s="4">
        <f t="shared" si="1"/>
        <v>228.57</v>
      </c>
    </row>
    <row r="23" spans="1:10" x14ac:dyDescent="0.2">
      <c r="A23" s="3">
        <v>45492</v>
      </c>
      <c r="B23" s="5" t="s">
        <v>51</v>
      </c>
      <c r="C23" s="5" t="s">
        <v>52</v>
      </c>
      <c r="D23" s="57">
        <v>0</v>
      </c>
      <c r="E23" s="5" t="s">
        <v>17</v>
      </c>
      <c r="F23" s="57">
        <v>0</v>
      </c>
      <c r="G23" s="20">
        <v>0</v>
      </c>
      <c r="I23" s="101">
        <f t="shared" si="0"/>
        <v>4119.09</v>
      </c>
      <c r="J23" s="4">
        <f t="shared" si="1"/>
        <v>4144.32</v>
      </c>
    </row>
    <row r="24" spans="1:10" x14ac:dyDescent="0.2">
      <c r="A24" s="3">
        <v>45492</v>
      </c>
      <c r="B24" s="5" t="s">
        <v>266</v>
      </c>
      <c r="C24" s="5" t="s">
        <v>267</v>
      </c>
      <c r="D24" s="57">
        <v>13</v>
      </c>
      <c r="E24" s="5" t="s">
        <v>16</v>
      </c>
      <c r="F24" s="57">
        <v>10</v>
      </c>
      <c r="G24" s="20">
        <v>3352.52</v>
      </c>
      <c r="I24" s="101">
        <f t="shared" si="0"/>
        <v>36.299999999999997</v>
      </c>
      <c r="J24" s="4">
        <f t="shared" si="1"/>
        <v>36.61</v>
      </c>
    </row>
    <row r="25" spans="1:10" x14ac:dyDescent="0.2">
      <c r="A25" s="3">
        <v>45492</v>
      </c>
      <c r="B25" s="5" t="s">
        <v>288</v>
      </c>
      <c r="C25" s="5" t="s">
        <v>289</v>
      </c>
      <c r="D25" s="57">
        <v>6</v>
      </c>
      <c r="E25" s="5" t="s">
        <v>16</v>
      </c>
      <c r="F25" s="57">
        <v>10</v>
      </c>
      <c r="G25" s="20">
        <v>3159.24</v>
      </c>
      <c r="I25" s="101">
        <f t="shared" si="0"/>
        <v>73.87</v>
      </c>
      <c r="J25" s="4">
        <f t="shared" si="1"/>
        <v>74.150000000000006</v>
      </c>
    </row>
    <row r="26" spans="1:10" x14ac:dyDescent="0.2">
      <c r="A26" s="3">
        <v>45492</v>
      </c>
      <c r="B26" s="5" t="s">
        <v>53</v>
      </c>
      <c r="C26" s="5" t="s">
        <v>215</v>
      </c>
      <c r="D26" s="57">
        <v>4</v>
      </c>
      <c r="E26" s="5" t="s">
        <v>16</v>
      </c>
      <c r="F26" s="57">
        <v>10</v>
      </c>
      <c r="G26" s="20">
        <v>8219.26</v>
      </c>
      <c r="I26" s="101">
        <f t="shared" si="0"/>
        <v>311.73</v>
      </c>
      <c r="J26" s="4">
        <f t="shared" si="1"/>
        <v>317.54000000000002</v>
      </c>
    </row>
    <row r="27" spans="1:10" x14ac:dyDescent="0.2">
      <c r="A27" s="3">
        <v>45492</v>
      </c>
      <c r="B27" s="5" t="s">
        <v>290</v>
      </c>
      <c r="C27" s="5" t="s">
        <v>291</v>
      </c>
      <c r="D27" s="57">
        <v>2</v>
      </c>
      <c r="E27" s="5" t="s">
        <v>16</v>
      </c>
      <c r="F27" s="57">
        <v>10</v>
      </c>
      <c r="G27" s="20">
        <v>3380.19</v>
      </c>
      <c r="I27" s="101">
        <f t="shared" si="0"/>
        <v>239.84</v>
      </c>
      <c r="J27" s="4">
        <f t="shared" si="1"/>
        <v>241.26</v>
      </c>
    </row>
    <row r="28" spans="1:10" x14ac:dyDescent="0.2">
      <c r="A28" s="3">
        <v>45492</v>
      </c>
      <c r="B28" s="5" t="s">
        <v>248</v>
      </c>
      <c r="C28" s="5" t="s">
        <v>249</v>
      </c>
      <c r="D28" s="57">
        <v>4</v>
      </c>
      <c r="E28" s="5" t="s">
        <v>16</v>
      </c>
      <c r="F28" s="57">
        <v>10</v>
      </c>
      <c r="G28" s="20">
        <v>5325.17</v>
      </c>
      <c r="I28" s="101">
        <f t="shared" si="0"/>
        <v>204.88</v>
      </c>
      <c r="J28" s="4">
        <f t="shared" si="1"/>
        <v>215.01</v>
      </c>
    </row>
    <row r="29" spans="1:10" x14ac:dyDescent="0.2">
      <c r="A29" s="3">
        <v>45492</v>
      </c>
      <c r="B29" s="5" t="s">
        <v>54</v>
      </c>
      <c r="C29" s="5" t="s">
        <v>216</v>
      </c>
      <c r="D29" s="57">
        <v>2</v>
      </c>
      <c r="E29" s="5" t="s">
        <v>16</v>
      </c>
      <c r="F29" s="57">
        <v>10</v>
      </c>
      <c r="G29" s="20">
        <v>4711.2700000000004</v>
      </c>
      <c r="I29" s="101">
        <f t="shared" si="0"/>
        <v>327.42</v>
      </c>
      <c r="J29" s="4">
        <f t="shared" si="1"/>
        <v>328.41</v>
      </c>
    </row>
    <row r="30" spans="1:10" x14ac:dyDescent="0.2">
      <c r="A30" s="3">
        <v>45492</v>
      </c>
      <c r="B30" s="5" t="s">
        <v>55</v>
      </c>
      <c r="C30" s="5" t="s">
        <v>56</v>
      </c>
      <c r="D30" s="57">
        <v>52</v>
      </c>
      <c r="E30" s="5" t="s">
        <v>16</v>
      </c>
      <c r="F30" s="57">
        <v>10</v>
      </c>
      <c r="G30" s="20">
        <v>15052.95</v>
      </c>
      <c r="I30" s="101">
        <f t="shared" si="0"/>
        <v>39.61</v>
      </c>
      <c r="J30" s="4">
        <f t="shared" si="1"/>
        <v>39.664999999999999</v>
      </c>
    </row>
    <row r="31" spans="1:10" x14ac:dyDescent="0.2">
      <c r="A31" s="3">
        <v>45492</v>
      </c>
      <c r="B31" s="5" t="s">
        <v>57</v>
      </c>
      <c r="C31" s="5" t="s">
        <v>198</v>
      </c>
      <c r="D31" s="57">
        <v>6</v>
      </c>
      <c r="E31" s="5" t="s">
        <v>16</v>
      </c>
      <c r="F31" s="57">
        <v>10</v>
      </c>
      <c r="G31" s="20">
        <v>36213</v>
      </c>
      <c r="I31" s="101">
        <f t="shared" si="0"/>
        <v>850.77</v>
      </c>
      <c r="J31" s="4">
        <f t="shared" si="1"/>
        <v>851.23500000000001</v>
      </c>
    </row>
    <row r="32" spans="1:10" x14ac:dyDescent="0.2">
      <c r="A32" s="3">
        <v>45492</v>
      </c>
      <c r="B32" s="5" t="s">
        <v>126</v>
      </c>
      <c r="C32" s="5" t="s">
        <v>217</v>
      </c>
      <c r="D32" s="57">
        <v>13</v>
      </c>
      <c r="E32" s="5" t="s">
        <v>16</v>
      </c>
      <c r="F32" s="57">
        <v>10</v>
      </c>
      <c r="G32" s="20">
        <v>4912.88</v>
      </c>
      <c r="I32" s="101">
        <f t="shared" si="0"/>
        <v>54</v>
      </c>
      <c r="J32" s="4">
        <f t="shared" si="1"/>
        <v>54.85</v>
      </c>
    </row>
    <row r="33" spans="1:10" x14ac:dyDescent="0.2">
      <c r="A33" s="3">
        <v>45492</v>
      </c>
      <c r="B33" s="5" t="s">
        <v>211</v>
      </c>
      <c r="C33" s="5" t="s">
        <v>212</v>
      </c>
      <c r="D33" s="57">
        <v>3</v>
      </c>
      <c r="E33" s="5" t="s">
        <v>16</v>
      </c>
      <c r="F33" s="57">
        <v>10</v>
      </c>
      <c r="G33" s="20">
        <v>7594.08</v>
      </c>
      <c r="I33" s="101">
        <f t="shared" si="0"/>
        <v>369.05</v>
      </c>
      <c r="J33" s="4">
        <f t="shared" si="1"/>
        <v>379.33499999999998</v>
      </c>
    </row>
    <row r="34" spans="1:10" x14ac:dyDescent="0.2">
      <c r="A34" s="3">
        <v>45492</v>
      </c>
      <c r="B34" s="5" t="s">
        <v>58</v>
      </c>
      <c r="C34" s="5" t="s">
        <v>199</v>
      </c>
      <c r="D34" s="57">
        <v>54</v>
      </c>
      <c r="E34" s="5" t="s">
        <v>16</v>
      </c>
      <c r="F34" s="57">
        <v>10</v>
      </c>
      <c r="G34" s="20">
        <v>18685.89</v>
      </c>
      <c r="I34" s="101">
        <f t="shared" si="0"/>
        <v>47.42</v>
      </c>
      <c r="J34" s="4">
        <f t="shared" si="1"/>
        <v>47.965000000000003</v>
      </c>
    </row>
    <row r="35" spans="1:10" x14ac:dyDescent="0.2">
      <c r="A35" s="3">
        <v>45492</v>
      </c>
      <c r="B35" s="5" t="s">
        <v>268</v>
      </c>
      <c r="C35" s="5" t="s">
        <v>269</v>
      </c>
      <c r="D35" s="57">
        <v>5</v>
      </c>
      <c r="E35" s="5" t="s">
        <v>16</v>
      </c>
      <c r="F35" s="57">
        <v>10</v>
      </c>
      <c r="G35" s="20">
        <v>2707.23</v>
      </c>
      <c r="I35" s="101">
        <f t="shared" si="0"/>
        <v>76.97</v>
      </c>
      <c r="J35" s="4">
        <f t="shared" si="1"/>
        <v>76.97</v>
      </c>
    </row>
    <row r="36" spans="1:10" x14ac:dyDescent="0.2">
      <c r="A36" s="3">
        <v>45492</v>
      </c>
      <c r="B36" s="5" t="s">
        <v>59</v>
      </c>
      <c r="C36" s="5" t="s">
        <v>60</v>
      </c>
      <c r="D36" s="57">
        <v>26</v>
      </c>
      <c r="E36" s="5" t="s">
        <v>16</v>
      </c>
      <c r="F36" s="57">
        <v>10</v>
      </c>
      <c r="G36" s="20">
        <v>6573.38</v>
      </c>
      <c r="I36" s="101">
        <f t="shared" si="0"/>
        <v>35.33</v>
      </c>
      <c r="J36" s="4">
        <f t="shared" si="1"/>
        <v>35.630000000000003</v>
      </c>
    </row>
    <row r="37" spans="1:10" x14ac:dyDescent="0.2">
      <c r="A37" s="3">
        <v>45492</v>
      </c>
      <c r="B37" s="5" t="s">
        <v>61</v>
      </c>
      <c r="C37" s="5" t="s">
        <v>62</v>
      </c>
      <c r="D37" s="57">
        <v>1</v>
      </c>
      <c r="E37" s="5" t="s">
        <v>16</v>
      </c>
      <c r="F37" s="57">
        <v>10</v>
      </c>
      <c r="G37" s="20">
        <v>5133.33</v>
      </c>
      <c r="I37" s="101">
        <f t="shared" si="0"/>
        <v>725.45</v>
      </c>
      <c r="J37" s="4">
        <f t="shared" si="1"/>
        <v>727.04</v>
      </c>
    </row>
    <row r="38" spans="1:10" x14ac:dyDescent="0.2">
      <c r="A38" s="3">
        <v>45492</v>
      </c>
      <c r="B38" s="5" t="s">
        <v>63</v>
      </c>
      <c r="C38" s="5" t="s">
        <v>218</v>
      </c>
      <c r="D38" s="57">
        <v>7</v>
      </c>
      <c r="E38" s="5" t="s">
        <v>16</v>
      </c>
      <c r="F38" s="57">
        <v>10</v>
      </c>
      <c r="G38" s="20">
        <v>3729.22</v>
      </c>
      <c r="I38" s="101">
        <f t="shared" si="0"/>
        <v>73.790000000000006</v>
      </c>
      <c r="J38" s="4">
        <f t="shared" si="1"/>
        <v>73.900000000000006</v>
      </c>
    </row>
    <row r="39" spans="1:10" x14ac:dyDescent="0.2">
      <c r="A39" s="3">
        <v>45492</v>
      </c>
      <c r="B39" s="5" t="s">
        <v>292</v>
      </c>
      <c r="C39" s="5" t="s">
        <v>293</v>
      </c>
      <c r="D39" s="57">
        <v>5</v>
      </c>
      <c r="E39" s="5" t="s">
        <v>16</v>
      </c>
      <c r="F39" s="57">
        <v>10</v>
      </c>
      <c r="G39" s="20">
        <v>3678.58</v>
      </c>
      <c r="I39" s="101">
        <f t="shared" si="0"/>
        <v>108.74</v>
      </c>
      <c r="J39" s="4">
        <f t="shared" si="1"/>
        <v>109.62</v>
      </c>
    </row>
    <row r="40" spans="1:10" x14ac:dyDescent="0.2">
      <c r="A40" s="3">
        <v>45492</v>
      </c>
      <c r="B40" s="5" t="s">
        <v>235</v>
      </c>
      <c r="C40" s="5" t="s">
        <v>236</v>
      </c>
      <c r="D40" s="57">
        <v>4</v>
      </c>
      <c r="E40" s="5" t="s">
        <v>16</v>
      </c>
      <c r="F40" s="57">
        <v>10</v>
      </c>
      <c r="G40" s="20">
        <v>3456.36</v>
      </c>
      <c r="I40" s="101">
        <f t="shared" si="0"/>
        <v>130.77000000000001</v>
      </c>
      <c r="J40" s="4">
        <f t="shared" si="1"/>
        <v>131.65</v>
      </c>
    </row>
    <row r="41" spans="1:10" x14ac:dyDescent="0.2">
      <c r="A41" s="3">
        <v>45492</v>
      </c>
      <c r="B41" s="5" t="s">
        <v>64</v>
      </c>
      <c r="C41" s="5" t="s">
        <v>65</v>
      </c>
      <c r="D41" s="57">
        <v>3</v>
      </c>
      <c r="E41" s="5" t="s">
        <v>16</v>
      </c>
      <c r="F41" s="57">
        <v>10</v>
      </c>
      <c r="G41" s="20">
        <v>2253.79</v>
      </c>
      <c r="I41" s="101">
        <f t="shared" si="0"/>
        <v>104.82</v>
      </c>
      <c r="J41" s="4">
        <f t="shared" si="1"/>
        <v>105.455</v>
      </c>
    </row>
    <row r="42" spans="1:10" x14ac:dyDescent="0.2">
      <c r="A42" s="3">
        <v>45492</v>
      </c>
      <c r="B42" s="5" t="s">
        <v>163</v>
      </c>
      <c r="C42" s="5" t="s">
        <v>219</v>
      </c>
      <c r="D42" s="57">
        <v>5</v>
      </c>
      <c r="E42" s="5" t="s">
        <v>16</v>
      </c>
      <c r="F42" s="57">
        <v>10</v>
      </c>
      <c r="G42" s="20">
        <v>4086.88</v>
      </c>
      <c r="I42" s="101">
        <f t="shared" si="0"/>
        <v>116.06</v>
      </c>
      <c r="J42" s="4">
        <f t="shared" si="1"/>
        <v>116.12</v>
      </c>
    </row>
    <row r="43" spans="1:10" x14ac:dyDescent="0.2">
      <c r="A43" s="3">
        <v>45492</v>
      </c>
      <c r="B43" s="5" t="s">
        <v>66</v>
      </c>
      <c r="C43" s="5" t="s">
        <v>220</v>
      </c>
      <c r="D43" s="57">
        <v>4</v>
      </c>
      <c r="E43" s="5" t="s">
        <v>16</v>
      </c>
      <c r="F43" s="57">
        <v>10</v>
      </c>
      <c r="G43" s="20">
        <v>4193.5</v>
      </c>
      <c r="I43" s="101">
        <f t="shared" si="0"/>
        <v>146.66999999999999</v>
      </c>
      <c r="J43" s="4">
        <f t="shared" si="1"/>
        <v>147.47</v>
      </c>
    </row>
    <row r="44" spans="1:10" x14ac:dyDescent="0.2">
      <c r="A44" s="3">
        <v>45492</v>
      </c>
      <c r="B44" s="5" t="s">
        <v>159</v>
      </c>
      <c r="C44" s="5" t="s">
        <v>127</v>
      </c>
      <c r="D44" s="57">
        <v>13</v>
      </c>
      <c r="E44" s="5" t="s">
        <v>16</v>
      </c>
      <c r="F44" s="57">
        <v>10</v>
      </c>
      <c r="G44" s="20">
        <v>3377.55</v>
      </c>
      <c r="I44" s="101">
        <f t="shared" si="0"/>
        <v>35.520000000000003</v>
      </c>
      <c r="J44" s="4">
        <f t="shared" si="1"/>
        <v>35.715000000000003</v>
      </c>
    </row>
    <row r="45" spans="1:10" x14ac:dyDescent="0.2">
      <c r="A45" s="3">
        <v>45492</v>
      </c>
      <c r="B45" s="5" t="s">
        <v>270</v>
      </c>
      <c r="C45" s="5" t="s">
        <v>271</v>
      </c>
      <c r="D45" s="57">
        <v>2</v>
      </c>
      <c r="E45" s="5" t="s">
        <v>16</v>
      </c>
      <c r="F45" s="57">
        <v>10</v>
      </c>
      <c r="G45" s="20">
        <v>3008.76</v>
      </c>
      <c r="I45" s="101">
        <f t="shared" si="0"/>
        <v>209.06</v>
      </c>
      <c r="J45" s="4">
        <f t="shared" si="1"/>
        <v>210.61</v>
      </c>
    </row>
    <row r="46" spans="1:10" x14ac:dyDescent="0.2">
      <c r="A46" s="3">
        <v>45492</v>
      </c>
      <c r="B46" s="5" t="s">
        <v>67</v>
      </c>
      <c r="C46" s="5" t="s">
        <v>68</v>
      </c>
      <c r="D46" s="57">
        <v>8</v>
      </c>
      <c r="E46" s="5" t="s">
        <v>16</v>
      </c>
      <c r="F46" s="57">
        <v>10</v>
      </c>
      <c r="G46" s="20">
        <v>3993.24</v>
      </c>
      <c r="I46" s="101">
        <f t="shared" si="0"/>
        <v>69.03</v>
      </c>
      <c r="J46" s="4">
        <f t="shared" si="1"/>
        <v>69.355000000000004</v>
      </c>
    </row>
    <row r="47" spans="1:10" x14ac:dyDescent="0.2">
      <c r="A47" s="3">
        <v>45492</v>
      </c>
      <c r="B47" s="5" t="s">
        <v>237</v>
      </c>
      <c r="C47" s="5" t="s">
        <v>238</v>
      </c>
      <c r="D47" s="57">
        <v>10</v>
      </c>
      <c r="E47" s="5" t="s">
        <v>16</v>
      </c>
      <c r="F47" s="57">
        <v>10</v>
      </c>
      <c r="G47" s="20">
        <v>4215.6099999999997</v>
      </c>
      <c r="I47" s="101">
        <f t="shared" si="0"/>
        <v>59.48</v>
      </c>
      <c r="J47" s="4">
        <f t="shared" si="1"/>
        <v>60.2699</v>
      </c>
    </row>
    <row r="48" spans="1:10" x14ac:dyDescent="0.2">
      <c r="A48" s="3">
        <v>45492</v>
      </c>
      <c r="B48" s="5" t="s">
        <v>275</v>
      </c>
      <c r="C48" s="5" t="s">
        <v>285</v>
      </c>
      <c r="D48" s="57">
        <v>6</v>
      </c>
      <c r="E48" s="5" t="s">
        <v>16</v>
      </c>
      <c r="F48" s="57">
        <v>10</v>
      </c>
      <c r="G48" s="20">
        <v>3528.96</v>
      </c>
      <c r="I48" s="101">
        <f t="shared" si="0"/>
        <v>82.64</v>
      </c>
      <c r="J48" s="4">
        <f t="shared" si="1"/>
        <v>82.959699999999998</v>
      </c>
    </row>
    <row r="49" spans="1:10" x14ac:dyDescent="0.2">
      <c r="A49" s="3">
        <v>45492</v>
      </c>
      <c r="B49" s="5" t="s">
        <v>272</v>
      </c>
      <c r="C49" s="5" t="s">
        <v>282</v>
      </c>
      <c r="D49" s="57">
        <v>7</v>
      </c>
      <c r="E49" s="5" t="s">
        <v>16</v>
      </c>
      <c r="F49" s="57">
        <v>10</v>
      </c>
      <c r="G49" s="20">
        <v>2902</v>
      </c>
      <c r="I49" s="101">
        <f t="shared" si="0"/>
        <v>54.42</v>
      </c>
      <c r="J49" s="4">
        <f t="shared" si="1"/>
        <v>54.95</v>
      </c>
    </row>
    <row r="50" spans="1:10" x14ac:dyDescent="0.2">
      <c r="A50" s="3">
        <v>45492</v>
      </c>
      <c r="B50" s="5" t="s">
        <v>69</v>
      </c>
      <c r="C50" s="5" t="s">
        <v>221</v>
      </c>
      <c r="D50" s="57">
        <v>17</v>
      </c>
      <c r="E50" s="5" t="s">
        <v>16</v>
      </c>
      <c r="F50" s="57">
        <v>10</v>
      </c>
      <c r="G50" s="20">
        <v>8886.94</v>
      </c>
      <c r="I50" s="101">
        <f t="shared" si="0"/>
        <v>71.64</v>
      </c>
      <c r="J50" s="4">
        <f t="shared" si="1"/>
        <v>72.05</v>
      </c>
    </row>
    <row r="51" spans="1:10" x14ac:dyDescent="0.2">
      <c r="A51" s="3">
        <v>45492</v>
      </c>
      <c r="B51" s="5" t="s">
        <v>70</v>
      </c>
      <c r="C51" s="5" t="s">
        <v>135</v>
      </c>
      <c r="D51" s="57">
        <v>29</v>
      </c>
      <c r="E51" s="5" t="s">
        <v>16</v>
      </c>
      <c r="F51" s="57">
        <v>10</v>
      </c>
      <c r="G51" s="20">
        <v>37769.870000000003</v>
      </c>
      <c r="I51" s="101">
        <f t="shared" si="0"/>
        <v>185.5</v>
      </c>
      <c r="J51" s="4">
        <f t="shared" si="1"/>
        <v>190.34</v>
      </c>
    </row>
    <row r="52" spans="1:10" x14ac:dyDescent="0.2">
      <c r="A52" s="3">
        <v>45492</v>
      </c>
      <c r="B52" s="5" t="s">
        <v>71</v>
      </c>
      <c r="C52" s="5" t="s">
        <v>136</v>
      </c>
      <c r="D52" s="57">
        <v>30</v>
      </c>
      <c r="E52" s="5" t="s">
        <v>16</v>
      </c>
      <c r="F52" s="57">
        <v>10</v>
      </c>
      <c r="G52" s="20">
        <v>38729.949999999997</v>
      </c>
      <c r="I52" s="101">
        <f t="shared" si="0"/>
        <v>183.92</v>
      </c>
      <c r="J52" s="4">
        <f t="shared" si="1"/>
        <v>188.68</v>
      </c>
    </row>
    <row r="53" spans="1:10" x14ac:dyDescent="0.2">
      <c r="A53" s="3">
        <v>45492</v>
      </c>
      <c r="B53" s="5" t="s">
        <v>244</v>
      </c>
      <c r="C53" s="5" t="s">
        <v>245</v>
      </c>
      <c r="D53" s="57">
        <v>9</v>
      </c>
      <c r="E53" s="5" t="s">
        <v>16</v>
      </c>
      <c r="F53" s="57">
        <v>10</v>
      </c>
      <c r="G53" s="20">
        <v>14134.44</v>
      </c>
      <c r="I53" s="101">
        <f t="shared" si="0"/>
        <v>218.47</v>
      </c>
      <c r="J53" s="4">
        <f t="shared" si="1"/>
        <v>219.01</v>
      </c>
    </row>
    <row r="54" spans="1:10" x14ac:dyDescent="0.2">
      <c r="A54" s="3">
        <v>45492</v>
      </c>
      <c r="B54" s="5" t="s">
        <v>72</v>
      </c>
      <c r="C54" s="5" t="s">
        <v>73</v>
      </c>
      <c r="D54" s="57">
        <v>1</v>
      </c>
      <c r="E54" s="5" t="s">
        <v>16</v>
      </c>
      <c r="F54" s="57">
        <v>10</v>
      </c>
      <c r="G54" s="20">
        <v>3540.72</v>
      </c>
      <c r="I54" s="101">
        <f t="shared" si="0"/>
        <v>499.52</v>
      </c>
      <c r="J54" s="4">
        <f t="shared" si="1"/>
        <v>502.32</v>
      </c>
    </row>
    <row r="55" spans="1:10" x14ac:dyDescent="0.2">
      <c r="A55" s="3">
        <v>45492</v>
      </c>
      <c r="B55" s="5" t="s">
        <v>74</v>
      </c>
      <c r="C55" s="5" t="s">
        <v>75</v>
      </c>
      <c r="D55" s="57">
        <v>2</v>
      </c>
      <c r="E55" s="5" t="s">
        <v>16</v>
      </c>
      <c r="F55" s="57">
        <v>10</v>
      </c>
      <c r="G55" s="20">
        <v>1710.06</v>
      </c>
      <c r="I55" s="101">
        <f t="shared" si="0"/>
        <v>125.23</v>
      </c>
      <c r="J55" s="4">
        <f t="shared" si="1"/>
        <v>126.29</v>
      </c>
    </row>
    <row r="56" spans="1:10" x14ac:dyDescent="0.2">
      <c r="A56" s="3">
        <v>45492</v>
      </c>
      <c r="B56" s="5" t="s">
        <v>76</v>
      </c>
      <c r="C56" s="5" t="s">
        <v>77</v>
      </c>
      <c r="D56" s="57">
        <v>57</v>
      </c>
      <c r="E56" s="5" t="s">
        <v>16</v>
      </c>
      <c r="F56" s="57">
        <v>10</v>
      </c>
      <c r="G56" s="20">
        <v>14008.42</v>
      </c>
      <c r="I56" s="101">
        <f t="shared" si="0"/>
        <v>34.340000000000003</v>
      </c>
      <c r="J56" s="4">
        <f t="shared" si="1"/>
        <v>34.450000000000003</v>
      </c>
    </row>
    <row r="57" spans="1:10" x14ac:dyDescent="0.2">
      <c r="A57" s="3">
        <v>45492</v>
      </c>
      <c r="B57" s="5" t="s">
        <v>78</v>
      </c>
      <c r="C57" s="5" t="s">
        <v>200</v>
      </c>
      <c r="D57" s="57">
        <v>4</v>
      </c>
      <c r="E57" s="5" t="s">
        <v>16</v>
      </c>
      <c r="F57" s="57">
        <v>10</v>
      </c>
      <c r="G57" s="20">
        <v>18796.86</v>
      </c>
      <c r="I57" s="101">
        <f t="shared" si="0"/>
        <v>666.15</v>
      </c>
      <c r="J57" s="4">
        <f t="shared" si="1"/>
        <v>668.64</v>
      </c>
    </row>
    <row r="58" spans="1:10" x14ac:dyDescent="0.2">
      <c r="A58" s="3">
        <v>45492</v>
      </c>
      <c r="B58" s="5" t="s">
        <v>79</v>
      </c>
      <c r="C58" s="5" t="s">
        <v>201</v>
      </c>
      <c r="D58" s="57">
        <v>5</v>
      </c>
      <c r="E58" s="5" t="s">
        <v>16</v>
      </c>
      <c r="F58" s="57">
        <v>10</v>
      </c>
      <c r="G58" s="20">
        <v>15198.94</v>
      </c>
      <c r="I58" s="101">
        <f t="shared" si="0"/>
        <v>438.01</v>
      </c>
      <c r="J58" s="4">
        <f t="shared" si="1"/>
        <v>442.09249999999997</v>
      </c>
    </row>
    <row r="59" spans="1:10" x14ac:dyDescent="0.2">
      <c r="A59" s="3">
        <v>45492</v>
      </c>
      <c r="B59" s="5" t="s">
        <v>177</v>
      </c>
      <c r="C59" s="5" t="s">
        <v>178</v>
      </c>
      <c r="D59" s="57">
        <v>18</v>
      </c>
      <c r="E59" s="5" t="s">
        <v>16</v>
      </c>
      <c r="F59" s="57">
        <v>10</v>
      </c>
      <c r="G59" s="20">
        <v>4246.5600000000004</v>
      </c>
      <c r="I59" s="101">
        <f t="shared" si="0"/>
        <v>32.659999999999997</v>
      </c>
      <c r="J59" s="4">
        <f t="shared" si="1"/>
        <v>32.979999999999997</v>
      </c>
    </row>
    <row r="60" spans="1:10" x14ac:dyDescent="0.2">
      <c r="A60" s="3">
        <v>45492</v>
      </c>
      <c r="B60" s="5" t="s">
        <v>80</v>
      </c>
      <c r="C60" s="5" t="s">
        <v>81</v>
      </c>
      <c r="D60" s="57">
        <v>16</v>
      </c>
      <c r="E60" s="5" t="s">
        <v>16</v>
      </c>
      <c r="F60" s="57">
        <v>10</v>
      </c>
      <c r="G60" s="20">
        <v>3868.29</v>
      </c>
      <c r="I60" s="101">
        <f t="shared" si="0"/>
        <v>32.840000000000003</v>
      </c>
      <c r="J60" s="4">
        <f t="shared" si="1"/>
        <v>32.909999999999997</v>
      </c>
    </row>
    <row r="61" spans="1:10" x14ac:dyDescent="0.2">
      <c r="A61" s="3">
        <v>45492</v>
      </c>
      <c r="B61" s="5" t="s">
        <v>82</v>
      </c>
      <c r="C61" s="5" t="s">
        <v>202</v>
      </c>
      <c r="D61" s="57">
        <v>2</v>
      </c>
      <c r="E61" s="5" t="s">
        <v>16</v>
      </c>
      <c r="F61" s="57">
        <v>10</v>
      </c>
      <c r="G61" s="20">
        <v>11150.57</v>
      </c>
      <c r="I61" s="101">
        <f t="shared" si="0"/>
        <v>867.18</v>
      </c>
      <c r="J61" s="4">
        <f t="shared" si="1"/>
        <v>868.8</v>
      </c>
    </row>
    <row r="62" spans="1:10" x14ac:dyDescent="0.2">
      <c r="A62" s="3">
        <v>45492</v>
      </c>
      <c r="B62" s="5" t="s">
        <v>294</v>
      </c>
      <c r="C62" s="5" t="s">
        <v>295</v>
      </c>
      <c r="D62" s="57">
        <v>6</v>
      </c>
      <c r="E62" s="5" t="s">
        <v>16</v>
      </c>
      <c r="F62" s="57">
        <v>10</v>
      </c>
      <c r="G62" s="20">
        <v>19225.48</v>
      </c>
      <c r="I62" s="101">
        <f t="shared" si="0"/>
        <v>445.73</v>
      </c>
      <c r="J62" s="4">
        <f t="shared" si="1"/>
        <v>447.995</v>
      </c>
    </row>
    <row r="63" spans="1:10" x14ac:dyDescent="0.2">
      <c r="A63" s="3">
        <v>45492</v>
      </c>
      <c r="B63" s="5" t="s">
        <v>83</v>
      </c>
      <c r="C63" s="5" t="s">
        <v>84</v>
      </c>
      <c r="D63" s="57">
        <v>2</v>
      </c>
      <c r="E63" s="5" t="s">
        <v>16</v>
      </c>
      <c r="F63" s="57">
        <v>10</v>
      </c>
      <c r="G63" s="20">
        <v>13802.6</v>
      </c>
      <c r="I63" s="101">
        <f t="shared" si="0"/>
        <v>1075.99</v>
      </c>
      <c r="J63" s="4">
        <f t="shared" si="1"/>
        <v>1082.3399999999999</v>
      </c>
    </row>
    <row r="64" spans="1:10" x14ac:dyDescent="0.2">
      <c r="A64" s="3">
        <v>45492</v>
      </c>
      <c r="B64" s="5" t="s">
        <v>152</v>
      </c>
      <c r="C64" s="5" t="s">
        <v>222</v>
      </c>
      <c r="D64" s="57">
        <v>2</v>
      </c>
      <c r="E64" s="5" t="s">
        <v>16</v>
      </c>
      <c r="F64" s="57">
        <v>10</v>
      </c>
      <c r="G64" s="20">
        <v>4174.67</v>
      </c>
      <c r="I64" s="101">
        <f t="shared" si="0"/>
        <v>291.76</v>
      </c>
      <c r="J64" s="4">
        <f t="shared" si="1"/>
        <v>291.87200000000001</v>
      </c>
    </row>
    <row r="65" spans="1:10" x14ac:dyDescent="0.2">
      <c r="A65" s="3">
        <v>45492</v>
      </c>
      <c r="B65" s="5" t="s">
        <v>85</v>
      </c>
      <c r="C65" s="5" t="s">
        <v>86</v>
      </c>
      <c r="D65" s="57">
        <v>4</v>
      </c>
      <c r="E65" s="5" t="s">
        <v>16</v>
      </c>
      <c r="F65" s="57">
        <v>10</v>
      </c>
      <c r="G65" s="20">
        <v>7061.91</v>
      </c>
      <c r="I65" s="101">
        <f t="shared" si="0"/>
        <v>255.11</v>
      </c>
      <c r="J65" s="4">
        <f t="shared" si="1"/>
        <v>255.19</v>
      </c>
    </row>
    <row r="66" spans="1:10" x14ac:dyDescent="0.2">
      <c r="A66" s="3">
        <v>45492</v>
      </c>
      <c r="B66" s="5" t="s">
        <v>87</v>
      </c>
      <c r="C66" s="5" t="s">
        <v>203</v>
      </c>
      <c r="D66" s="57">
        <v>7</v>
      </c>
      <c r="E66" s="5" t="s">
        <v>16</v>
      </c>
      <c r="F66" s="57">
        <v>10</v>
      </c>
      <c r="G66" s="20">
        <v>4568.92</v>
      </c>
      <c r="I66" s="101">
        <f t="shared" si="0"/>
        <v>94.81</v>
      </c>
      <c r="J66" s="4">
        <f t="shared" si="1"/>
        <v>94.87</v>
      </c>
    </row>
    <row r="67" spans="1:10" x14ac:dyDescent="0.2">
      <c r="A67" s="3">
        <v>45492</v>
      </c>
      <c r="B67" s="5" t="s">
        <v>296</v>
      </c>
      <c r="C67" s="5" t="s">
        <v>297</v>
      </c>
      <c r="D67" s="57">
        <v>1</v>
      </c>
      <c r="E67" s="5" t="s">
        <v>16</v>
      </c>
      <c r="F67" s="57">
        <v>10</v>
      </c>
      <c r="G67" s="20">
        <v>1873.95</v>
      </c>
      <c r="I67" s="101">
        <f t="shared" si="0"/>
        <v>258.26</v>
      </c>
      <c r="J67" s="4">
        <f t="shared" si="1"/>
        <v>259.69499999999999</v>
      </c>
    </row>
    <row r="68" spans="1:10" x14ac:dyDescent="0.2">
      <c r="A68" s="3">
        <v>45492</v>
      </c>
      <c r="B68" s="5" t="s">
        <v>88</v>
      </c>
      <c r="C68" s="5" t="s">
        <v>89</v>
      </c>
      <c r="D68" s="57">
        <v>18</v>
      </c>
      <c r="E68" s="5" t="s">
        <v>16</v>
      </c>
      <c r="F68" s="57">
        <v>10</v>
      </c>
      <c r="G68" s="20">
        <v>8616.36</v>
      </c>
      <c r="I68" s="101">
        <f t="shared" si="0"/>
        <v>65.83</v>
      </c>
      <c r="J68" s="4">
        <f t="shared" si="1"/>
        <v>65.88</v>
      </c>
    </row>
    <row r="69" spans="1:10" x14ac:dyDescent="0.2">
      <c r="A69" s="3">
        <v>45492</v>
      </c>
      <c r="B69" s="5" t="s">
        <v>90</v>
      </c>
      <c r="C69" s="5" t="s">
        <v>91</v>
      </c>
      <c r="D69" s="57">
        <v>1</v>
      </c>
      <c r="E69" s="5" t="s">
        <v>16</v>
      </c>
      <c r="F69" s="57">
        <v>10</v>
      </c>
      <c r="G69" s="20">
        <v>11910.75</v>
      </c>
      <c r="I69" s="101">
        <f t="shared" si="0"/>
        <v>1720.43</v>
      </c>
      <c r="J69" s="4">
        <f t="shared" si="1"/>
        <v>1745.51</v>
      </c>
    </row>
    <row r="70" spans="1:10" x14ac:dyDescent="0.2">
      <c r="A70" s="3">
        <v>45492</v>
      </c>
      <c r="B70" s="5" t="s">
        <v>252</v>
      </c>
      <c r="C70" s="5" t="s">
        <v>230</v>
      </c>
      <c r="D70" s="57">
        <v>18</v>
      </c>
      <c r="E70" s="5" t="s">
        <v>16</v>
      </c>
      <c r="F70" s="57">
        <v>10</v>
      </c>
      <c r="G70" s="20">
        <v>59306.77</v>
      </c>
      <c r="I70" s="101">
        <f t="shared" si="0"/>
        <v>489.79</v>
      </c>
      <c r="J70" s="4">
        <f t="shared" si="1"/>
        <v>503.94990000000001</v>
      </c>
    </row>
    <row r="71" spans="1:10" x14ac:dyDescent="0.2">
      <c r="A71" s="3">
        <v>45492</v>
      </c>
      <c r="B71" s="5" t="s">
        <v>92</v>
      </c>
      <c r="C71" s="5" t="s">
        <v>223</v>
      </c>
      <c r="D71" s="57">
        <v>14</v>
      </c>
      <c r="E71" s="5" t="s">
        <v>16</v>
      </c>
      <c r="F71" s="57">
        <v>10</v>
      </c>
      <c r="G71" s="20">
        <v>5064.1499999999996</v>
      </c>
      <c r="I71" s="101">
        <f t="shared" ref="I71:I106" si="2">[1]!s_dq_close(B71,$F$2,1)</f>
        <v>50.49</v>
      </c>
      <c r="J71" s="4">
        <f t="shared" ref="J71:J106" si="3">[1]!s_dq_high(B71,$F$2,1)</f>
        <v>50.59</v>
      </c>
    </row>
    <row r="72" spans="1:10" x14ac:dyDescent="0.2">
      <c r="A72" s="3">
        <v>45492</v>
      </c>
      <c r="B72" s="5" t="s">
        <v>170</v>
      </c>
      <c r="C72" s="5" t="s">
        <v>171</v>
      </c>
      <c r="D72" s="57">
        <v>5</v>
      </c>
      <c r="E72" s="5" t="s">
        <v>16</v>
      </c>
      <c r="F72" s="57">
        <v>10</v>
      </c>
      <c r="G72" s="20">
        <v>4423.68</v>
      </c>
      <c r="I72" s="101">
        <f t="shared" si="2"/>
        <v>125.14</v>
      </c>
      <c r="J72" s="4">
        <f t="shared" si="3"/>
        <v>127.2</v>
      </c>
    </row>
    <row r="73" spans="1:10" x14ac:dyDescent="0.2">
      <c r="A73" s="3">
        <v>45492</v>
      </c>
      <c r="B73" s="5" t="s">
        <v>185</v>
      </c>
      <c r="C73" s="5" t="s">
        <v>186</v>
      </c>
      <c r="D73" s="57">
        <v>12</v>
      </c>
      <c r="E73" s="5" t="s">
        <v>16</v>
      </c>
      <c r="F73" s="57">
        <v>10</v>
      </c>
      <c r="G73" s="20">
        <v>5813.56</v>
      </c>
      <c r="I73" s="101">
        <f t="shared" si="2"/>
        <v>75.599999999999994</v>
      </c>
      <c r="J73" s="4">
        <f t="shared" si="3"/>
        <v>75.69</v>
      </c>
    </row>
    <row r="74" spans="1:10" x14ac:dyDescent="0.2">
      <c r="A74" s="3">
        <v>45492</v>
      </c>
      <c r="B74" s="5" t="s">
        <v>93</v>
      </c>
      <c r="C74" s="5" t="s">
        <v>204</v>
      </c>
      <c r="D74" s="57">
        <v>38</v>
      </c>
      <c r="E74" s="5" t="s">
        <v>16</v>
      </c>
      <c r="F74" s="57">
        <v>10</v>
      </c>
      <c r="G74" s="20">
        <v>120197.65</v>
      </c>
      <c r="I74" s="101">
        <f t="shared" si="2"/>
        <v>449.52</v>
      </c>
      <c r="J74" s="4">
        <f t="shared" si="3"/>
        <v>454.3</v>
      </c>
    </row>
    <row r="75" spans="1:10" x14ac:dyDescent="0.2">
      <c r="A75" s="3">
        <v>45492</v>
      </c>
      <c r="B75" s="5" t="s">
        <v>94</v>
      </c>
      <c r="C75" s="5" t="s">
        <v>224</v>
      </c>
      <c r="D75" s="57">
        <v>15</v>
      </c>
      <c r="E75" s="5" t="s">
        <v>16</v>
      </c>
      <c r="F75" s="57">
        <v>10</v>
      </c>
      <c r="G75" s="20">
        <v>12783.75</v>
      </c>
      <c r="I75" s="101">
        <f t="shared" si="2"/>
        <v>127.49</v>
      </c>
      <c r="J75" s="4">
        <f t="shared" si="3"/>
        <v>130.97</v>
      </c>
    </row>
    <row r="76" spans="1:10" x14ac:dyDescent="0.2">
      <c r="A76" s="3">
        <v>45492</v>
      </c>
      <c r="B76" s="5" t="s">
        <v>95</v>
      </c>
      <c r="C76" s="5" t="s">
        <v>205</v>
      </c>
      <c r="D76" s="57">
        <v>6</v>
      </c>
      <c r="E76" s="5" t="s">
        <v>16</v>
      </c>
      <c r="F76" s="57">
        <v>10</v>
      </c>
      <c r="G76" s="20">
        <v>27705.33</v>
      </c>
      <c r="I76" s="101">
        <f t="shared" si="2"/>
        <v>656.32</v>
      </c>
      <c r="J76" s="4">
        <f t="shared" si="3"/>
        <v>663.67499999999995</v>
      </c>
    </row>
    <row r="77" spans="1:10" x14ac:dyDescent="0.2">
      <c r="A77" s="3">
        <v>45492</v>
      </c>
      <c r="B77" s="5" t="s">
        <v>96</v>
      </c>
      <c r="C77" s="5" t="s">
        <v>97</v>
      </c>
      <c r="D77" s="57">
        <v>127</v>
      </c>
      <c r="E77" s="5" t="s">
        <v>16</v>
      </c>
      <c r="F77" s="57">
        <v>10</v>
      </c>
      <c r="G77" s="20">
        <v>106868.1</v>
      </c>
      <c r="I77" s="101">
        <f t="shared" si="2"/>
        <v>126.36</v>
      </c>
      <c r="J77" s="4">
        <f t="shared" si="3"/>
        <v>129.04</v>
      </c>
    </row>
    <row r="78" spans="1:10" x14ac:dyDescent="0.2">
      <c r="A78" s="3">
        <v>45492</v>
      </c>
      <c r="B78" s="5" t="s">
        <v>149</v>
      </c>
      <c r="C78" s="5" t="s">
        <v>225</v>
      </c>
      <c r="D78" s="57">
        <v>3</v>
      </c>
      <c r="E78" s="5" t="s">
        <v>16</v>
      </c>
      <c r="F78" s="57">
        <v>10</v>
      </c>
      <c r="G78" s="20">
        <v>5911.34</v>
      </c>
      <c r="I78" s="101">
        <f t="shared" si="2"/>
        <v>290.77999999999997</v>
      </c>
      <c r="J78" s="4">
        <f t="shared" si="3"/>
        <v>291.47000000000003</v>
      </c>
    </row>
    <row r="79" spans="1:10" x14ac:dyDescent="0.2">
      <c r="A79" s="3">
        <v>45492</v>
      </c>
      <c r="B79" s="5" t="s">
        <v>246</v>
      </c>
      <c r="C79" s="5" t="s">
        <v>247</v>
      </c>
      <c r="D79" s="57">
        <v>3</v>
      </c>
      <c r="E79" s="5" t="s">
        <v>16</v>
      </c>
      <c r="F79" s="57">
        <v>10</v>
      </c>
      <c r="G79" s="20">
        <v>4250.84</v>
      </c>
      <c r="I79" s="101">
        <f t="shared" si="2"/>
        <v>203.84</v>
      </c>
      <c r="J79" s="4">
        <f t="shared" si="3"/>
        <v>204.11500000000001</v>
      </c>
    </row>
    <row r="80" spans="1:10" x14ac:dyDescent="0.2">
      <c r="A80" s="3">
        <v>45492</v>
      </c>
      <c r="B80" s="5" t="s">
        <v>278</v>
      </c>
      <c r="C80" s="5" t="s">
        <v>279</v>
      </c>
      <c r="D80" s="57">
        <v>6</v>
      </c>
      <c r="E80" s="5" t="s">
        <v>16</v>
      </c>
      <c r="F80" s="57">
        <v>10</v>
      </c>
      <c r="G80" s="20">
        <v>3228.99</v>
      </c>
      <c r="I80" s="101">
        <f t="shared" si="2"/>
        <v>78.739999999999995</v>
      </c>
      <c r="J80" s="4">
        <f t="shared" si="3"/>
        <v>78.760000000000005</v>
      </c>
    </row>
    <row r="81" spans="1:10" x14ac:dyDescent="0.2">
      <c r="A81" s="3">
        <v>45492</v>
      </c>
      <c r="B81" s="5" t="s">
        <v>98</v>
      </c>
      <c r="C81" s="5" t="s">
        <v>99</v>
      </c>
      <c r="D81" s="57">
        <v>1</v>
      </c>
      <c r="E81" s="5" t="s">
        <v>16</v>
      </c>
      <c r="F81" s="57">
        <v>10</v>
      </c>
      <c r="G81" s="20">
        <v>7442.96</v>
      </c>
      <c r="I81" s="101">
        <f t="shared" si="2"/>
        <v>1043.52</v>
      </c>
      <c r="J81" s="4">
        <f t="shared" si="3"/>
        <v>1054.5899999999999</v>
      </c>
    </row>
    <row r="82" spans="1:10" x14ac:dyDescent="0.2">
      <c r="A82" s="3">
        <v>45492</v>
      </c>
      <c r="B82" s="5" t="s">
        <v>239</v>
      </c>
      <c r="C82" s="5" t="s">
        <v>240</v>
      </c>
      <c r="D82" s="57">
        <v>4</v>
      </c>
      <c r="E82" s="5" t="s">
        <v>16</v>
      </c>
      <c r="F82" s="57">
        <v>10</v>
      </c>
      <c r="G82" s="20">
        <v>9475.02</v>
      </c>
      <c r="I82" s="101">
        <f t="shared" si="2"/>
        <v>338.5</v>
      </c>
      <c r="J82" s="4">
        <f t="shared" si="3"/>
        <v>341.68759999999997</v>
      </c>
    </row>
    <row r="83" spans="1:10" x14ac:dyDescent="0.2">
      <c r="A83" s="3">
        <v>45492</v>
      </c>
      <c r="B83" s="5" t="s">
        <v>100</v>
      </c>
      <c r="C83" s="5" t="s">
        <v>206</v>
      </c>
      <c r="D83" s="57">
        <v>5</v>
      </c>
      <c r="E83" s="5" t="s">
        <v>16</v>
      </c>
      <c r="F83" s="57">
        <v>10</v>
      </c>
      <c r="G83" s="20">
        <v>4521.92</v>
      </c>
      <c r="I83" s="101">
        <f t="shared" si="2"/>
        <v>124.28</v>
      </c>
      <c r="J83" s="4">
        <f t="shared" si="3"/>
        <v>124.31</v>
      </c>
    </row>
    <row r="84" spans="1:10" x14ac:dyDescent="0.2">
      <c r="A84" s="3">
        <v>45492</v>
      </c>
      <c r="B84" s="5" t="s">
        <v>101</v>
      </c>
      <c r="C84" s="5" t="s">
        <v>207</v>
      </c>
      <c r="D84" s="57">
        <v>7</v>
      </c>
      <c r="E84" s="5" t="s">
        <v>16</v>
      </c>
      <c r="F84" s="57">
        <v>10</v>
      </c>
      <c r="G84" s="20">
        <v>5452.05</v>
      </c>
      <c r="I84" s="101">
        <f t="shared" si="2"/>
        <v>108.89</v>
      </c>
      <c r="J84" s="4">
        <f t="shared" si="3"/>
        <v>108.97</v>
      </c>
    </row>
    <row r="85" spans="1:10" x14ac:dyDescent="0.2">
      <c r="A85" s="3">
        <v>45492</v>
      </c>
      <c r="B85" s="5" t="s">
        <v>150</v>
      </c>
      <c r="C85" s="5" t="s">
        <v>151</v>
      </c>
      <c r="D85" s="57">
        <v>9</v>
      </c>
      <c r="E85" s="5" t="s">
        <v>16</v>
      </c>
      <c r="F85" s="57">
        <v>10</v>
      </c>
      <c r="G85" s="20">
        <v>8461.02</v>
      </c>
      <c r="I85" s="101">
        <f t="shared" si="2"/>
        <v>135.84</v>
      </c>
      <c r="J85" s="4">
        <f t="shared" si="3"/>
        <v>138.97999999999999</v>
      </c>
    </row>
    <row r="86" spans="1:10" x14ac:dyDescent="0.2">
      <c r="A86" s="3">
        <v>45492</v>
      </c>
      <c r="B86" s="5" t="s">
        <v>128</v>
      </c>
      <c r="C86" s="5" t="s">
        <v>208</v>
      </c>
      <c r="D86" s="57">
        <v>18</v>
      </c>
      <c r="E86" s="5" t="s">
        <v>16</v>
      </c>
      <c r="F86" s="57">
        <v>10</v>
      </c>
      <c r="G86" s="20">
        <v>21809.19</v>
      </c>
      <c r="I86" s="101">
        <f t="shared" si="2"/>
        <v>164.76</v>
      </c>
      <c r="J86" s="4">
        <f t="shared" si="3"/>
        <v>165.04</v>
      </c>
    </row>
    <row r="87" spans="1:10" x14ac:dyDescent="0.2">
      <c r="A87" s="3">
        <v>45492</v>
      </c>
      <c r="B87" s="5" t="s">
        <v>102</v>
      </c>
      <c r="C87" s="5" t="s">
        <v>264</v>
      </c>
      <c r="D87" s="57">
        <v>14</v>
      </c>
      <c r="E87" s="5" t="s">
        <v>16</v>
      </c>
      <c r="F87" s="57">
        <v>10</v>
      </c>
      <c r="G87" s="20">
        <v>6114.52</v>
      </c>
      <c r="I87" s="101">
        <f t="shared" si="2"/>
        <v>61.81</v>
      </c>
      <c r="J87" s="4">
        <f t="shared" si="3"/>
        <v>62.02</v>
      </c>
    </row>
    <row r="88" spans="1:10" x14ac:dyDescent="0.2">
      <c r="A88" s="3">
        <v>45492</v>
      </c>
      <c r="B88" s="5" t="s">
        <v>103</v>
      </c>
      <c r="C88" s="5" t="s">
        <v>209</v>
      </c>
      <c r="D88" s="57">
        <v>15</v>
      </c>
      <c r="E88" s="5" t="s">
        <v>16</v>
      </c>
      <c r="F88" s="57">
        <v>10</v>
      </c>
      <c r="G88" s="20">
        <v>20496.79</v>
      </c>
      <c r="I88" s="101">
        <f t="shared" si="2"/>
        <v>209.64</v>
      </c>
      <c r="J88" s="4">
        <f t="shared" si="3"/>
        <v>211.09</v>
      </c>
    </row>
    <row r="89" spans="1:10" x14ac:dyDescent="0.2">
      <c r="A89" s="3">
        <v>45492</v>
      </c>
      <c r="B89" s="5" t="s">
        <v>104</v>
      </c>
      <c r="C89" s="5" t="s">
        <v>105</v>
      </c>
      <c r="D89" s="57">
        <v>1</v>
      </c>
      <c r="E89" s="5" t="s">
        <v>16</v>
      </c>
      <c r="F89" s="57">
        <v>10</v>
      </c>
      <c r="G89" s="20">
        <v>7742.42</v>
      </c>
      <c r="I89" s="101">
        <f t="shared" si="2"/>
        <v>1094.99</v>
      </c>
      <c r="J89" s="4">
        <f t="shared" si="3"/>
        <v>1100.08</v>
      </c>
    </row>
    <row r="90" spans="1:10" x14ac:dyDescent="0.2">
      <c r="A90" s="3">
        <v>45492</v>
      </c>
      <c r="B90" s="5" t="s">
        <v>298</v>
      </c>
      <c r="C90" s="5" t="s">
        <v>299</v>
      </c>
      <c r="D90" s="57">
        <v>1</v>
      </c>
      <c r="E90" s="5" t="s">
        <v>16</v>
      </c>
      <c r="F90" s="57">
        <v>10</v>
      </c>
      <c r="G90" s="20">
        <v>4074.18</v>
      </c>
      <c r="I90" s="101">
        <f t="shared" si="2"/>
        <v>567.07000000000005</v>
      </c>
      <c r="J90" s="4">
        <f t="shared" si="3"/>
        <v>567.41999999999996</v>
      </c>
    </row>
    <row r="91" spans="1:10" x14ac:dyDescent="0.2">
      <c r="A91" s="3">
        <v>45492</v>
      </c>
      <c r="B91" s="5" t="s">
        <v>106</v>
      </c>
      <c r="C91" s="5" t="s">
        <v>210</v>
      </c>
      <c r="D91" s="57">
        <v>4</v>
      </c>
      <c r="E91" s="5" t="s">
        <v>16</v>
      </c>
      <c r="F91" s="57">
        <v>10</v>
      </c>
      <c r="G91" s="20">
        <v>4210.6099999999997</v>
      </c>
      <c r="I91" s="101">
        <f t="shared" si="2"/>
        <v>148.87</v>
      </c>
      <c r="J91" s="4">
        <f t="shared" si="3"/>
        <v>149.35499999999999</v>
      </c>
    </row>
    <row r="92" spans="1:10" x14ac:dyDescent="0.2">
      <c r="A92" s="3">
        <v>45492</v>
      </c>
      <c r="B92" s="5" t="s">
        <v>107</v>
      </c>
      <c r="C92" s="5" t="s">
        <v>108</v>
      </c>
      <c r="D92" s="57">
        <v>15</v>
      </c>
      <c r="E92" s="5" t="s">
        <v>16</v>
      </c>
      <c r="F92" s="57">
        <v>10</v>
      </c>
      <c r="G92" s="20">
        <v>8033.97</v>
      </c>
      <c r="I92" s="101">
        <f t="shared" si="2"/>
        <v>75.510000000000005</v>
      </c>
      <c r="J92" s="4">
        <f t="shared" si="3"/>
        <v>75.510000000000005</v>
      </c>
    </row>
    <row r="93" spans="1:10" x14ac:dyDescent="0.2">
      <c r="A93" s="3">
        <v>45492</v>
      </c>
      <c r="B93" s="5" t="s">
        <v>109</v>
      </c>
      <c r="C93" s="5" t="s">
        <v>226</v>
      </c>
      <c r="D93" s="57">
        <v>2</v>
      </c>
      <c r="E93" s="5" t="s">
        <v>16</v>
      </c>
      <c r="F93" s="57">
        <v>10</v>
      </c>
      <c r="G93" s="20">
        <v>8135.67</v>
      </c>
      <c r="I93" s="101">
        <f t="shared" si="2"/>
        <v>613.01</v>
      </c>
      <c r="J93" s="4">
        <f t="shared" si="3"/>
        <v>620.42999999999995</v>
      </c>
    </row>
    <row r="94" spans="1:10" x14ac:dyDescent="0.2">
      <c r="A94" s="3">
        <v>45492</v>
      </c>
      <c r="B94" s="5" t="s">
        <v>187</v>
      </c>
      <c r="C94" s="5" t="s">
        <v>188</v>
      </c>
      <c r="D94" s="57">
        <v>2</v>
      </c>
      <c r="E94" s="5" t="s">
        <v>16</v>
      </c>
      <c r="F94" s="57">
        <v>10</v>
      </c>
      <c r="G94" s="20">
        <v>2552.04</v>
      </c>
      <c r="I94" s="101">
        <f t="shared" si="2"/>
        <v>183.17</v>
      </c>
      <c r="J94" s="4">
        <f t="shared" si="3"/>
        <v>184.53989999999999</v>
      </c>
    </row>
    <row r="95" spans="1:10" x14ac:dyDescent="0.2">
      <c r="A95" s="3">
        <v>45492</v>
      </c>
      <c r="B95" s="5" t="s">
        <v>110</v>
      </c>
      <c r="C95" s="5" t="s">
        <v>111</v>
      </c>
      <c r="D95" s="57">
        <v>16</v>
      </c>
      <c r="E95" s="5" t="s">
        <v>16</v>
      </c>
      <c r="F95" s="57">
        <v>10</v>
      </c>
      <c r="G95" s="20">
        <v>20945.810000000001</v>
      </c>
      <c r="I95" s="101">
        <f t="shared" si="2"/>
        <v>182.98</v>
      </c>
      <c r="J95" s="4">
        <f t="shared" si="3"/>
        <v>183.82</v>
      </c>
    </row>
    <row r="96" spans="1:10" x14ac:dyDescent="0.2">
      <c r="A96" s="3">
        <v>45492</v>
      </c>
      <c r="B96" s="5" t="s">
        <v>112</v>
      </c>
      <c r="C96" s="5" t="s">
        <v>227</v>
      </c>
      <c r="D96" s="57">
        <v>25</v>
      </c>
      <c r="E96" s="5" t="s">
        <v>16</v>
      </c>
      <c r="F96" s="57">
        <v>10</v>
      </c>
      <c r="G96" s="20">
        <v>44306.31</v>
      </c>
      <c r="I96" s="101">
        <f t="shared" si="2"/>
        <v>256.56</v>
      </c>
      <c r="J96" s="4">
        <f t="shared" si="3"/>
        <v>258.62</v>
      </c>
    </row>
    <row r="97" spans="1:10" x14ac:dyDescent="0.2">
      <c r="A97" s="3">
        <v>45492</v>
      </c>
      <c r="B97" s="5" t="s">
        <v>280</v>
      </c>
      <c r="C97" s="5" t="s">
        <v>281</v>
      </c>
      <c r="D97" s="57">
        <v>6</v>
      </c>
      <c r="E97" s="5" t="s">
        <v>16</v>
      </c>
      <c r="F97" s="57">
        <v>10</v>
      </c>
      <c r="G97" s="20">
        <v>4075.4</v>
      </c>
      <c r="I97" s="101">
        <f t="shared" si="2"/>
        <v>100.95</v>
      </c>
      <c r="J97" s="4">
        <f t="shared" si="3"/>
        <v>101.5885</v>
      </c>
    </row>
    <row r="98" spans="1:10" x14ac:dyDescent="0.2">
      <c r="A98" s="3">
        <v>45492</v>
      </c>
      <c r="B98" s="5" t="s">
        <v>300</v>
      </c>
      <c r="C98" s="5" t="s">
        <v>301</v>
      </c>
      <c r="D98" s="57">
        <v>2</v>
      </c>
      <c r="E98" s="5" t="s">
        <v>16</v>
      </c>
      <c r="F98" s="57">
        <v>10</v>
      </c>
      <c r="G98" s="20">
        <v>2137.69</v>
      </c>
      <c r="I98" s="101">
        <f t="shared" si="2"/>
        <v>154.1</v>
      </c>
      <c r="J98" s="4">
        <f t="shared" si="3"/>
        <v>154.56</v>
      </c>
    </row>
    <row r="99" spans="1:10" x14ac:dyDescent="0.2">
      <c r="A99" s="3">
        <v>45492</v>
      </c>
      <c r="B99" s="5" t="s">
        <v>113</v>
      </c>
      <c r="C99" s="5" t="s">
        <v>228</v>
      </c>
      <c r="D99" s="57">
        <v>12</v>
      </c>
      <c r="E99" s="5" t="s">
        <v>16</v>
      </c>
      <c r="F99" s="57">
        <v>10</v>
      </c>
      <c r="G99" s="20">
        <v>17480.900000000001</v>
      </c>
      <c r="I99" s="101">
        <f t="shared" si="2"/>
        <v>206.62</v>
      </c>
      <c r="J99" s="4">
        <f t="shared" si="3"/>
        <v>206.77</v>
      </c>
    </row>
    <row r="100" spans="1:10" x14ac:dyDescent="0.2">
      <c r="A100" s="3">
        <v>45492</v>
      </c>
      <c r="B100" s="5" t="s">
        <v>114</v>
      </c>
      <c r="C100" s="5" t="s">
        <v>115</v>
      </c>
      <c r="D100" s="57">
        <v>2</v>
      </c>
      <c r="E100" s="5" t="s">
        <v>16</v>
      </c>
      <c r="F100" s="57">
        <v>10</v>
      </c>
      <c r="G100" s="20">
        <v>3981.83</v>
      </c>
      <c r="I100" s="101">
        <f t="shared" si="2"/>
        <v>281.14</v>
      </c>
      <c r="J100" s="4">
        <f t="shared" si="3"/>
        <v>281.58</v>
      </c>
    </row>
    <row r="101" spans="1:10" x14ac:dyDescent="0.2">
      <c r="A101" s="3">
        <v>45492</v>
      </c>
      <c r="B101" s="5" t="s">
        <v>116</v>
      </c>
      <c r="C101" s="5" t="s">
        <v>117</v>
      </c>
      <c r="D101" s="57">
        <v>3</v>
      </c>
      <c r="E101" s="5" t="s">
        <v>16</v>
      </c>
      <c r="F101" s="57">
        <v>10</v>
      </c>
      <c r="G101" s="20">
        <v>10448.870000000001</v>
      </c>
      <c r="I101" s="101">
        <f t="shared" si="2"/>
        <v>488.98</v>
      </c>
      <c r="J101" s="4">
        <f t="shared" si="3"/>
        <v>496.93</v>
      </c>
    </row>
    <row r="102" spans="1:10" x14ac:dyDescent="0.2">
      <c r="A102" s="3">
        <v>45492</v>
      </c>
      <c r="B102" s="5" t="s">
        <v>118</v>
      </c>
      <c r="C102" s="5" t="s">
        <v>119</v>
      </c>
      <c r="D102" s="57">
        <v>11</v>
      </c>
      <c r="E102" s="5" t="s">
        <v>17</v>
      </c>
      <c r="F102" s="57">
        <v>0</v>
      </c>
      <c r="G102" s="20">
        <v>929.63</v>
      </c>
      <c r="I102" s="101">
        <f t="shared" si="2"/>
        <v>11.73</v>
      </c>
      <c r="J102" s="4">
        <f t="shared" si="3"/>
        <v>11.98</v>
      </c>
    </row>
    <row r="103" spans="1:10" x14ac:dyDescent="0.2">
      <c r="A103" s="3">
        <v>45492</v>
      </c>
      <c r="B103" s="5" t="s">
        <v>273</v>
      </c>
      <c r="C103" s="5" t="s">
        <v>274</v>
      </c>
      <c r="D103" s="57">
        <v>33</v>
      </c>
      <c r="E103" s="5" t="s">
        <v>16</v>
      </c>
      <c r="F103" s="57">
        <v>10</v>
      </c>
      <c r="G103" s="20">
        <v>1958.11</v>
      </c>
      <c r="I103" s="101">
        <f t="shared" si="2"/>
        <v>7.98</v>
      </c>
      <c r="J103" s="4">
        <f t="shared" si="3"/>
        <v>7.98</v>
      </c>
    </row>
    <row r="104" spans="1:10" x14ac:dyDescent="0.2">
      <c r="A104" s="3">
        <v>45492</v>
      </c>
      <c r="B104" s="5" t="s">
        <v>120</v>
      </c>
      <c r="C104" s="5" t="s">
        <v>121</v>
      </c>
      <c r="D104" s="57">
        <v>3</v>
      </c>
      <c r="E104" s="5" t="s">
        <v>16</v>
      </c>
      <c r="F104" s="57">
        <v>10</v>
      </c>
      <c r="G104" s="20">
        <v>4955.82</v>
      </c>
      <c r="I104" s="101">
        <f t="shared" si="2"/>
        <v>235.63</v>
      </c>
      <c r="J104" s="4">
        <f t="shared" si="3"/>
        <v>237.25</v>
      </c>
    </row>
    <row r="105" spans="1:10" x14ac:dyDescent="0.2">
      <c r="A105" s="3">
        <v>45492</v>
      </c>
      <c r="B105" s="5" t="s">
        <v>129</v>
      </c>
      <c r="C105" s="5" t="s">
        <v>130</v>
      </c>
      <c r="D105" s="57">
        <v>7</v>
      </c>
      <c r="E105" s="5" t="s">
        <v>16</v>
      </c>
      <c r="F105" s="57">
        <v>10</v>
      </c>
      <c r="G105" s="20">
        <v>2761.47</v>
      </c>
      <c r="I105" s="101">
        <f t="shared" si="2"/>
        <v>53.93</v>
      </c>
      <c r="J105" s="4">
        <f t="shared" si="3"/>
        <v>53.954999999999998</v>
      </c>
    </row>
    <row r="106" spans="1:10" x14ac:dyDescent="0.2">
      <c r="A106" s="3">
        <v>45492</v>
      </c>
      <c r="B106" s="5" t="s">
        <v>241</v>
      </c>
      <c r="C106" s="5" t="s">
        <v>242</v>
      </c>
      <c r="D106" s="57">
        <v>2</v>
      </c>
      <c r="E106" s="5" t="s">
        <v>16</v>
      </c>
      <c r="F106" s="57">
        <v>10</v>
      </c>
      <c r="G106" s="20">
        <v>2780.4</v>
      </c>
      <c r="I106" s="101">
        <f t="shared" si="2"/>
        <v>203.12</v>
      </c>
      <c r="J106" s="4">
        <f t="shared" si="3"/>
        <v>205.48</v>
      </c>
    </row>
    <row r="107" spans="1:10" x14ac:dyDescent="0.2">
      <c r="G107" s="91"/>
    </row>
    <row r="108" spans="1:10" x14ac:dyDescent="0.2">
      <c r="G108"/>
    </row>
    <row r="109" spans="1:10" x14ac:dyDescent="0.2">
      <c r="G109"/>
    </row>
    <row r="110" spans="1:10" x14ac:dyDescent="0.2">
      <c r="G110"/>
    </row>
  </sheetData>
  <phoneticPr fontId="1" type="noConversion"/>
  <conditionalFormatting sqref="K1:K23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E2"/>
  <sheetViews>
    <sheetView workbookViewId="0">
      <selection activeCell="N13" sqref="N13"/>
    </sheetView>
  </sheetViews>
  <sheetFormatPr defaultRowHeight="12.75" x14ac:dyDescent="0.2"/>
  <sheetData>
    <row r="2" spans="5:5" x14ac:dyDescent="0.2">
      <c r="E2">
        <v>20240716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监控界面</vt:lpstr>
      <vt:lpstr>交易监控表</vt:lpstr>
      <vt:lpstr>中概互联实时折溢价</vt:lpstr>
      <vt:lpstr>纳指ETF折溢价</vt:lpstr>
      <vt:lpstr>广发中概折溢价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xyq_trade</dc:creator>
  <cp:lastModifiedBy>ACER</cp:lastModifiedBy>
  <dcterms:created xsi:type="dcterms:W3CDTF">2017-09-11T02:46:52Z</dcterms:created>
  <dcterms:modified xsi:type="dcterms:W3CDTF">2024-07-23T06:32:48Z</dcterms:modified>
</cp:coreProperties>
</file>