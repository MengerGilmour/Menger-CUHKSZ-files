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3.xml" ContentType="application/vnd.openxmlformats-officedocument.spreadsheetml.comments+xml"/>
  <Override PartName="/xl/tables/table2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9927\Desktop\internship\宁聚投资\2. ETF实时溢价套利\"/>
    </mc:Choice>
  </mc:AlternateContent>
  <xr:revisionPtr revIDLastSave="0" documentId="13_ncr:1_{A113FAFE-E448-45C7-BD37-81B319D33AEC}" xr6:coauthVersionLast="47" xr6:coauthVersionMax="47" xr10:uidLastSave="{00000000-0000-0000-0000-000000000000}"/>
  <bookViews>
    <workbookView xWindow="-110" yWindow="-110" windowWidth="25820" windowHeight="15500" tabRatio="629" firstSheet="2" activeTab="5" xr2:uid="{00000000-000D-0000-FFFF-FFFF00000000}"/>
  </bookViews>
  <sheets>
    <sheet name="监控界面" sheetId="26" state="hidden" r:id="rId1"/>
    <sheet name="交易监控表" sheetId="14" state="hidden" r:id="rId2"/>
    <sheet name="7.15 513050" sheetId="6" r:id="rId3"/>
    <sheet name="7.16 513050" sheetId="30" r:id="rId4"/>
    <sheet name="7.17 513050" sheetId="32" r:id="rId5"/>
    <sheet name="7.12 513050" sheetId="34" r:id="rId6"/>
    <sheet name="Sheet1" sheetId="33" r:id="rId7"/>
    <sheet name="纳指ETF折溢价" sheetId="4" r:id="rId8"/>
    <sheet name="广发中概折溢价" sheetId="27" state="hidden" r:id="rId9"/>
  </sheets>
  <externalReferences>
    <externalReference r:id="rId10"/>
  </externalReferences>
  <definedNames>
    <definedName name="ExternalData_1" localSheetId="3" hidden="1">'7.16 513050'!#REF!</definedName>
    <definedName name="ExternalData_1" localSheetId="4" hidden="1">'7.17 513050'!$A$1:$G$40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26" l="1"/>
  <c r="G6" i="26"/>
  <c r="G4" i="26"/>
  <c r="G2" i="26"/>
  <c r="G3" i="26"/>
  <c r="C2" i="26"/>
  <c r="B2" i="26"/>
  <c r="L7" i="34"/>
  <c r="L6" i="34"/>
  <c r="K38" i="34"/>
  <c r="J18" i="34"/>
  <c r="J38" i="32"/>
  <c r="J20" i="34"/>
  <c r="J38" i="34"/>
  <c r="J27" i="32"/>
  <c r="J34" i="32"/>
  <c r="K31" i="34"/>
  <c r="L11" i="34"/>
  <c r="K6" i="34"/>
  <c r="K9" i="34"/>
  <c r="J14" i="34"/>
  <c r="J15" i="32"/>
  <c r="J6" i="32"/>
  <c r="L19" i="34"/>
  <c r="L13" i="34"/>
  <c r="K7" i="34"/>
  <c r="J6" i="34"/>
  <c r="J35" i="34"/>
  <c r="J33" i="32"/>
  <c r="J7" i="32"/>
  <c r="K12" i="34"/>
  <c r="J6" i="30"/>
  <c r="K16" i="34"/>
  <c r="J22" i="32"/>
  <c r="J27" i="34"/>
  <c r="L26" i="34"/>
  <c r="K37" i="34"/>
  <c r="L15" i="34"/>
  <c r="K10" i="34"/>
  <c r="J7" i="34"/>
  <c r="J11" i="34"/>
  <c r="J23" i="32"/>
  <c r="J10" i="32"/>
  <c r="J28" i="34"/>
  <c r="L34" i="34"/>
  <c r="J16" i="32"/>
  <c r="J32" i="34"/>
  <c r="J37" i="32"/>
  <c r="K25" i="34"/>
  <c r="J21" i="34"/>
  <c r="J19" i="34"/>
  <c r="J36" i="34"/>
  <c r="L17" i="34"/>
  <c r="K11" i="34"/>
  <c r="A6" i="34"/>
  <c r="K13" i="34"/>
  <c r="J31" i="34"/>
  <c r="J11" i="32"/>
  <c r="K14" i="34"/>
  <c r="L36" i="34"/>
  <c r="J37" i="34"/>
  <c r="J28" i="32"/>
  <c r="J36" i="32"/>
  <c r="J33" i="34"/>
  <c r="J16" i="34"/>
  <c r="J19" i="32"/>
  <c r="J8" i="32"/>
  <c r="J22" i="34"/>
  <c r="L27" i="34"/>
  <c r="J26" i="32"/>
  <c r="K36" i="34"/>
  <c r="J9" i="32"/>
  <c r="L22" i="34"/>
  <c r="J18" i="32"/>
  <c r="K23" i="34"/>
  <c r="L21" i="34"/>
  <c r="J21" i="32"/>
  <c r="J32" i="32"/>
  <c r="L25" i="34"/>
  <c r="J12" i="32"/>
  <c r="J14" i="32"/>
  <c r="K18" i="34"/>
  <c r="L8" i="34"/>
  <c r="J9" i="34"/>
  <c r="L9" i="34"/>
  <c r="L12" i="34"/>
  <c r="K21" i="34"/>
  <c r="K22" i="34"/>
  <c r="L18" i="34"/>
  <c r="J26" i="34"/>
  <c r="K27" i="34"/>
  <c r="K28" i="34"/>
  <c r="L29" i="34"/>
  <c r="K15" i="34"/>
  <c r="J23" i="34"/>
  <c r="J13" i="32"/>
  <c r="K17" i="34"/>
  <c r="J13" i="34"/>
  <c r="K19" i="34"/>
  <c r="K20" i="34"/>
  <c r="J20" i="32"/>
  <c r="L31" i="34"/>
  <c r="J34" i="34"/>
  <c r="L14" i="34"/>
  <c r="K24" i="34"/>
  <c r="L16" i="34"/>
  <c r="J29" i="34"/>
  <c r="J24" i="34"/>
  <c r="J29" i="32"/>
  <c r="J17" i="32"/>
  <c r="J25" i="34"/>
  <c r="L23" i="34"/>
  <c r="J15" i="34"/>
  <c r="J24" i="32"/>
  <c r="K26" i="34"/>
  <c r="K29" i="34"/>
  <c r="K8" i="34"/>
  <c r="J10" i="34"/>
  <c r="J17" i="34"/>
  <c r="K33" i="34"/>
  <c r="K30" i="34"/>
  <c r="J25" i="32"/>
  <c r="J35" i="32"/>
  <c r="J30" i="34"/>
  <c r="K35" i="34"/>
  <c r="K32" i="34"/>
  <c r="L35" i="34"/>
  <c r="K34" i="34"/>
  <c r="J12" i="34"/>
  <c r="L37" i="34"/>
  <c r="L24" i="34"/>
  <c r="J8" i="34"/>
  <c r="L10" i="34"/>
  <c r="J31" i="32"/>
  <c r="L20" i="34"/>
  <c r="L28" i="34"/>
  <c r="L30" i="34"/>
  <c r="J30" i="32"/>
  <c r="L32" i="34"/>
  <c r="L33" i="34"/>
  <c r="L38" i="34"/>
  <c r="J24" i="30"/>
  <c r="J34" i="6"/>
  <c r="J34" i="30"/>
  <c r="J6" i="6"/>
  <c r="A6" i="30"/>
  <c r="J19" i="30"/>
  <c r="D4" i="14"/>
  <c r="A6" i="6"/>
  <c r="J38" i="6"/>
  <c r="J8" i="6"/>
  <c r="J31" i="30"/>
  <c r="J35" i="30"/>
  <c r="J17" i="6"/>
  <c r="J29" i="6"/>
  <c r="J25" i="30"/>
  <c r="J35" i="6"/>
  <c r="J27" i="6"/>
  <c r="J10" i="30"/>
  <c r="A6" i="32"/>
  <c r="E3" i="14"/>
  <c r="J21" i="30"/>
  <c r="J26" i="30"/>
  <c r="D5" i="14"/>
  <c r="J10" i="6"/>
  <c r="J13" i="6"/>
  <c r="J16" i="6"/>
  <c r="J20" i="6"/>
  <c r="J28" i="6"/>
  <c r="J18" i="30"/>
  <c r="J27" i="30"/>
  <c r="J37" i="6"/>
  <c r="J36" i="30"/>
  <c r="J31" i="6"/>
  <c r="J11" i="6"/>
  <c r="J14" i="30"/>
  <c r="J18" i="6"/>
  <c r="E4" i="14"/>
  <c r="J23" i="30"/>
  <c r="D3" i="14"/>
  <c r="J29" i="30"/>
  <c r="J8" i="30"/>
  <c r="J11" i="30"/>
  <c r="J13" i="30"/>
  <c r="J15" i="30"/>
  <c r="J16" i="30"/>
  <c r="J33" i="6"/>
  <c r="J30" i="30"/>
  <c r="J9" i="6"/>
  <c r="J23" i="6"/>
  <c r="J38" i="30"/>
  <c r="J7" i="6"/>
  <c r="J15" i="6"/>
  <c r="J17" i="30"/>
  <c r="J24" i="6"/>
  <c r="J32" i="6"/>
  <c r="J28" i="30"/>
  <c r="J30" i="6"/>
  <c r="J32" i="30"/>
  <c r="J19" i="6"/>
  <c r="J25" i="6"/>
  <c r="J7" i="30"/>
  <c r="J12" i="30"/>
  <c r="A6" i="4"/>
  <c r="J36" i="6"/>
  <c r="E5" i="14"/>
  <c r="J33" i="30"/>
  <c r="J37" i="30"/>
  <c r="J14" i="6"/>
  <c r="J9" i="30"/>
  <c r="J22" i="6"/>
  <c r="J21" i="6"/>
  <c r="J26" i="6"/>
  <c r="J22" i="30"/>
  <c r="J12" i="6"/>
  <c r="J20" i="30"/>
  <c r="I40" i="34" l="1"/>
  <c r="I40" i="32"/>
  <c r="K40" i="34"/>
  <c r="L40" i="34"/>
  <c r="I40" i="6"/>
  <c r="I40" i="30"/>
  <c r="D2" i="14"/>
  <c r="E2" i="14"/>
  <c r="G8" i="26"/>
  <c r="G7" i="26"/>
  <c r="B8" i="26"/>
  <c r="B5" i="26"/>
  <c r="B7" i="26"/>
  <c r="B6" i="26"/>
  <c r="D8" i="26" l="1"/>
  <c r="D6" i="26"/>
  <c r="J6" i="26"/>
  <c r="H6" i="26" s="1"/>
  <c r="I6" i="26" s="1"/>
  <c r="J4" i="26"/>
  <c r="H4" i="26" s="1"/>
  <c r="I4" i="26" s="1"/>
  <c r="J3" i="26"/>
  <c r="H3" i="26" s="1"/>
  <c r="I3" i="26" s="1"/>
  <c r="J7" i="26"/>
  <c r="H7" i="26" s="1"/>
  <c r="I7" i="26" s="1"/>
  <c r="J9" i="26"/>
  <c r="H9" i="26" s="1"/>
  <c r="I9" i="26" s="1"/>
  <c r="J5" i="26"/>
  <c r="H5" i="26" s="1"/>
  <c r="I5" i="26" s="1"/>
  <c r="J8" i="26"/>
  <c r="H8" i="26" s="1"/>
  <c r="I8" i="26" s="1"/>
  <c r="C8" i="26" l="1"/>
  <c r="C5" i="26"/>
  <c r="C6" i="26"/>
  <c r="J2" i="26"/>
  <c r="C7" i="2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4CA5A9F9-9AA4-415C-8ED5-6941719EFBF5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763B6665-5FB0-44B1-8A11-98C754FB4623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C7ABB53-F2E7-451D-8E7C-1AF9E9982B7F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BB40DF19-B8D4-44F2-BFE2-028F6C865C14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B2E173E2-7AC9-4D60-BD09-1D7B583CB452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F6BEBA38-B286-4A94-B391-E6D277CD158C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B66BCA-5BD3-456F-9FFF-27CC9FB6CD19}" keepAlive="1" name="查询 - 中概互联实时折溢价" description="与工作簿中“中概互联实时折溢价”查询的连接。" type="5" refreshedVersion="0" background="1">
    <dbPr connection="Provider=Microsoft.Mashup.OleDb.1;Data Source=$Workbook$;Location=中概互联实时折溢价;Extended Properties=&quot;&quot;" command="SELECT * FROM [中概互联实时折溢价]"/>
  </connection>
  <connection id="2" xr16:uid="{FA4A072D-79EE-4F7E-AC6F-47D8CFDDD60D}" keepAlive="1" name="查询 - 中概互联实时折溢价 (2)" description="与工作簿中“中概互联实时折溢价 (2)”查询的连接。" type="5" refreshedVersion="0" background="1">
    <dbPr connection="Provider=Microsoft.Mashup.OleDb.1;Data Source=$Workbook$;Location=&quot;中概互联实时折溢价 (2)&quot;;Extended Properties=&quot;&quot;" command="SELECT * FROM [中概互联实时折溢价 (2)]"/>
  </connection>
  <connection id="3" xr16:uid="{E4F383B0-0C1A-4C41-BCDE-BB8A974D1351}" keepAlive="1" name="查询 - 中概互联实时折溢价 (3)" description="与工作簿中“中概互联实时折溢价 (3)”查询的连接。" type="5" refreshedVersion="8" background="1" saveData="1">
    <dbPr connection="Provider=Microsoft.Mashup.OleDb.1;Data Source=$Workbook$;Location=&quot;中概互联实时折溢价 (3)&quot;;Extended Properties=&quot;&quot;" command="SELECT * FROM [中概互联实时折溢价 (3)]"/>
  </connection>
  <connection id="4" xr16:uid="{81B188D3-FE78-4110-974C-9044EA815DDC}" keepAlive="1" name="查询 - 中概互联实时折溢价 (4)" description="与工作簿中“中概互联实时折溢价 (4)”查询的连接。" type="5" refreshedVersion="8" background="1" saveData="1">
    <dbPr connection="Provider=Microsoft.Mashup.OleDb.1;Data Source=$Workbook$;Location=&quot;中概互联实时折溢价 (4)&quot;;Extended Properties=&quot;&quot;" command="SELECT * FROM [中概互联实时折溢价 (4)]"/>
  </connection>
</connections>
</file>

<file path=xl/sharedStrings.xml><?xml version="1.0" encoding="utf-8"?>
<sst xmlns="http://schemas.openxmlformats.org/spreadsheetml/2006/main" count="855" uniqueCount="345">
  <si>
    <t>数据集名称</t>
  </si>
  <si>
    <t>ETF申赎成分信息</t>
  </si>
  <si>
    <t>日期</t>
  </si>
  <si>
    <t>Wind代码</t>
  </si>
  <si>
    <t>date</t>
  </si>
  <si>
    <t>wind_code</t>
    <phoneticPr fontId="4" type="noConversion"/>
  </si>
  <si>
    <t>sec_name</t>
  </si>
  <si>
    <t>volume</t>
  </si>
  <si>
    <t>cash_substitution_mark</t>
  </si>
  <si>
    <t>cash_substitution_premium_ratio</t>
  </si>
  <si>
    <t>fixed_substitution_amount</t>
  </si>
  <si>
    <t>证券名称</t>
  </si>
  <si>
    <t>数量</t>
  </si>
  <si>
    <t>现金替代标志</t>
  </si>
  <si>
    <t>现金替代溢价比例(%)</t>
  </si>
  <si>
    <t>固定替代金额</t>
  </si>
  <si>
    <t>退补</t>
  </si>
  <si>
    <t>必须</t>
  </si>
  <si>
    <t>3888.HK</t>
  </si>
  <si>
    <t>金山软件</t>
  </si>
  <si>
    <t>ATHM.N</t>
  </si>
  <si>
    <t>汽车之家</t>
  </si>
  <si>
    <t>TAL.N</t>
  </si>
  <si>
    <t>好未来</t>
  </si>
  <si>
    <t>VIPS.N</t>
  </si>
  <si>
    <t>唯品会</t>
  </si>
  <si>
    <t>WB.O</t>
  </si>
  <si>
    <t>微博</t>
  </si>
  <si>
    <t>YY.O</t>
  </si>
  <si>
    <t>IQ.O</t>
  </si>
  <si>
    <t>0772.HK</t>
  </si>
  <si>
    <t>阅文集团</t>
  </si>
  <si>
    <t>wind_code</t>
    <phoneticPr fontId="4" type="noConversion"/>
  </si>
  <si>
    <t>ADBE.O</t>
  </si>
  <si>
    <t>ADI.O</t>
  </si>
  <si>
    <t>亚德诺(ANALOG)</t>
  </si>
  <si>
    <t>ADP.O</t>
  </si>
  <si>
    <t>自动数据处理</t>
  </si>
  <si>
    <t>ADSK.O</t>
  </si>
  <si>
    <t>欧特克(AUTODESK)</t>
  </si>
  <si>
    <t>AMAT.O</t>
  </si>
  <si>
    <t>AMGN.O</t>
  </si>
  <si>
    <t>安进(AMGEN)</t>
  </si>
  <si>
    <t>AMZN.O</t>
  </si>
  <si>
    <t>亚马逊(AMAZON)</t>
  </si>
  <si>
    <t>ASML.O</t>
  </si>
  <si>
    <t>阿斯麦</t>
  </si>
  <si>
    <t>AVGO.O</t>
  </si>
  <si>
    <t>博通(BROADCOM)</t>
  </si>
  <si>
    <t>BIIB.O</t>
  </si>
  <si>
    <t>生物基因(BIOGEN)</t>
  </si>
  <si>
    <t>BKNG.O</t>
  </si>
  <si>
    <t>BOOKING</t>
  </si>
  <si>
    <t>CDNS.O</t>
  </si>
  <si>
    <t>CHTR.O</t>
  </si>
  <si>
    <t>CMCSA.O</t>
  </si>
  <si>
    <t>康卡斯特(COMCAST)</t>
  </si>
  <si>
    <t>COST.O</t>
  </si>
  <si>
    <t>CSCO.O</t>
  </si>
  <si>
    <t>CSX.O</t>
  </si>
  <si>
    <t>CSX运输</t>
  </si>
  <si>
    <t>CTAS.O</t>
  </si>
  <si>
    <t>信达思(CINTAS)</t>
  </si>
  <si>
    <t>CTSH.O</t>
  </si>
  <si>
    <t>DLTR.O</t>
  </si>
  <si>
    <t>美元树(DOLLAR TREE)</t>
  </si>
  <si>
    <t>EA.O</t>
  </si>
  <si>
    <t>FAST.O</t>
  </si>
  <si>
    <t>快扣(FASTENAL)</t>
  </si>
  <si>
    <t>GILD.O</t>
  </si>
  <si>
    <t>GOOG.O</t>
  </si>
  <si>
    <t>GOOGL.O</t>
  </si>
  <si>
    <t>IDXX.O</t>
  </si>
  <si>
    <t>IDEXX实验室</t>
  </si>
  <si>
    <t>ILMN.O</t>
  </si>
  <si>
    <t>ILLUMINA</t>
  </si>
  <si>
    <t>INTC.O</t>
  </si>
  <si>
    <t>英特尔(INTEL)</t>
  </si>
  <si>
    <t>INTU.O</t>
  </si>
  <si>
    <t>ISRG.O</t>
  </si>
  <si>
    <t>KHC.O</t>
  </si>
  <si>
    <t>卡夫亨氏(KRAFT HEINZ)</t>
  </si>
  <si>
    <t>KLAC.O</t>
  </si>
  <si>
    <t>LRCX.O</t>
  </si>
  <si>
    <t>拉姆研究(LAM RESEARCH)</t>
  </si>
  <si>
    <t>MAR.O</t>
  </si>
  <si>
    <t>万豪国际(MARRIOTT INTL)</t>
  </si>
  <si>
    <t>MCHP.O</t>
  </si>
  <si>
    <t>MDLZ.O</t>
  </si>
  <si>
    <t>亿滋国际(MONDELEZ INTL)</t>
  </si>
  <si>
    <t>MELI.O</t>
  </si>
  <si>
    <t>MERCADOLIBRE</t>
  </si>
  <si>
    <t>MNST.O</t>
  </si>
  <si>
    <t>MSFT.O</t>
  </si>
  <si>
    <t>MU.O</t>
  </si>
  <si>
    <t>NFLX.O</t>
  </si>
  <si>
    <t>NVDA.O</t>
  </si>
  <si>
    <t>英伟达(NVIDIA)</t>
  </si>
  <si>
    <t>ORLY.O</t>
  </si>
  <si>
    <t>奥莱利汽车(O REILLY AUTOMOTIVE)</t>
  </si>
  <si>
    <t>PAYX.O</t>
  </si>
  <si>
    <t>PCAR.O</t>
  </si>
  <si>
    <t>PYPL.O</t>
  </si>
  <si>
    <t>QCOM.O</t>
  </si>
  <si>
    <t>REGN.O</t>
  </si>
  <si>
    <t>再生元制药(REGENERON)</t>
  </si>
  <si>
    <t>ROST.O</t>
  </si>
  <si>
    <t>SBUX.O</t>
  </si>
  <si>
    <t>星巴克(STARBUCKS)</t>
  </si>
  <si>
    <t>SNPS.O</t>
  </si>
  <si>
    <t>TMUS.O</t>
  </si>
  <si>
    <t>T-MOBILE US</t>
  </si>
  <si>
    <t>TSLA.O</t>
  </si>
  <si>
    <t>TXN.O</t>
  </si>
  <si>
    <t>VRSK.O</t>
  </si>
  <si>
    <t>VERISK ANALYTICS</t>
  </si>
  <si>
    <t>VRTX.O</t>
  </si>
  <si>
    <t>福泰制药(VERTEX)</t>
  </si>
  <si>
    <t>WBA.O</t>
  </si>
  <si>
    <t>沃尔格林联合博姿</t>
  </si>
  <si>
    <t>WDAY.O</t>
  </si>
  <si>
    <t>WORKDAY</t>
  </si>
  <si>
    <t>美国电力</t>
  </si>
  <si>
    <t>AMD.O</t>
  </si>
  <si>
    <t>超威半导体(AMD)</t>
  </si>
  <si>
    <t>ANSS.O</t>
  </si>
  <si>
    <t>CPRT.O</t>
  </si>
  <si>
    <t>爱克斯龙电力(EXELON)</t>
  </si>
  <si>
    <t>PEP.O</t>
  </si>
  <si>
    <t>XEL.O</t>
  </si>
  <si>
    <t>埃克西尔能源(XCEL ENERGY)</t>
  </si>
  <si>
    <t>513100.OF</t>
    <phoneticPr fontId="1" type="noConversion"/>
  </si>
  <si>
    <t>3690.HK</t>
  </si>
  <si>
    <t>奥多比(ADOBE)</t>
  </si>
  <si>
    <t>513050.SH</t>
    <phoneticPr fontId="1" type="noConversion"/>
  </si>
  <si>
    <t>谷歌(ALPHABET)-C</t>
  </si>
  <si>
    <t>谷歌(ALPHABET)-A</t>
  </si>
  <si>
    <t>当天日期</t>
    <phoneticPr fontId="1" type="noConversion"/>
  </si>
  <si>
    <t>T-1交易日</t>
    <phoneticPr fontId="1" type="noConversion"/>
  </si>
  <si>
    <t>T-2交易日</t>
  </si>
  <si>
    <t>品种</t>
    <phoneticPr fontId="1" type="noConversion"/>
  </si>
  <si>
    <t>中概互联</t>
    <phoneticPr fontId="1" type="noConversion"/>
  </si>
  <si>
    <t>场内折溢价</t>
    <phoneticPr fontId="1" type="noConversion"/>
  </si>
  <si>
    <t>盘口价格</t>
    <phoneticPr fontId="1" type="noConversion"/>
  </si>
  <si>
    <t>513100.SH</t>
    <phoneticPr fontId="1" type="noConversion"/>
  </si>
  <si>
    <t>美元</t>
    <phoneticPr fontId="1" type="noConversion"/>
  </si>
  <si>
    <t>港币</t>
    <phoneticPr fontId="1" type="noConversion"/>
  </si>
  <si>
    <t>实时汇率</t>
    <phoneticPr fontId="1" type="noConversion"/>
  </si>
  <si>
    <t>中间价</t>
    <phoneticPr fontId="1" type="noConversion"/>
  </si>
  <si>
    <t>NXPI.O</t>
  </si>
  <si>
    <t>PDD.O</t>
  </si>
  <si>
    <t>拼多多</t>
  </si>
  <si>
    <t>LULU.O</t>
  </si>
  <si>
    <t>TME.N</t>
  </si>
  <si>
    <t>腾讯音乐</t>
  </si>
  <si>
    <t>腾讯控股</t>
    <phoneticPr fontId="1" type="noConversion"/>
  </si>
  <si>
    <t>美团点评</t>
    <phoneticPr fontId="1" type="noConversion"/>
  </si>
  <si>
    <t>日期(T)</t>
    <phoneticPr fontId="1" type="noConversion"/>
  </si>
  <si>
    <t>0780.HK</t>
  </si>
  <si>
    <t>EXC.O</t>
  </si>
  <si>
    <t>阿里折溢</t>
    <phoneticPr fontId="1" type="noConversion"/>
  </si>
  <si>
    <t>纳指100ETF</t>
    <phoneticPr fontId="1" type="noConversion"/>
  </si>
  <si>
    <t>欢聚</t>
  </si>
  <si>
    <t>DXCM.O</t>
  </si>
  <si>
    <t>0700.HK</t>
  </si>
  <si>
    <t>腾讯控股</t>
  </si>
  <si>
    <t>1833.HK</t>
  </si>
  <si>
    <t>平安好医生</t>
  </si>
  <si>
    <t>京东折溢</t>
    <phoneticPr fontId="1" type="noConversion"/>
  </si>
  <si>
    <t>网易折溢</t>
    <phoneticPr fontId="1" type="noConversion"/>
  </si>
  <si>
    <t>MRNA.O</t>
  </si>
  <si>
    <t>MODERNA</t>
  </si>
  <si>
    <t>1810.HK</t>
  </si>
  <si>
    <t>小米集团-W</t>
  </si>
  <si>
    <t>BEKE.N</t>
  </si>
  <si>
    <t>小米集团</t>
    <phoneticPr fontId="1" type="noConversion"/>
  </si>
  <si>
    <t>AEP.O</t>
  </si>
  <si>
    <t>KDP.O</t>
  </si>
  <si>
    <t>KEURIG DR PEPPER</t>
  </si>
  <si>
    <t>美团-W</t>
  </si>
  <si>
    <t>LU.N</t>
  </si>
  <si>
    <t>6060.HK</t>
  </si>
  <si>
    <t>众安在线</t>
  </si>
  <si>
    <t>6618.HK</t>
  </si>
  <si>
    <t>京东健康</t>
  </si>
  <si>
    <t>MRVL.O</t>
  </si>
  <si>
    <t>迈威尔科技</t>
  </si>
  <si>
    <t>TEAM.O</t>
  </si>
  <si>
    <t>ATLASSIAN</t>
  </si>
  <si>
    <t>1024.HK</t>
  </si>
  <si>
    <t>快手-W</t>
  </si>
  <si>
    <t>百度折溢</t>
    <phoneticPr fontId="1" type="noConversion"/>
  </si>
  <si>
    <t>QFIN.O</t>
  </si>
  <si>
    <t>YMM.N</t>
  </si>
  <si>
    <t>贝壳</t>
  </si>
  <si>
    <t>爱奇艺</t>
  </si>
  <si>
    <t>陆金所控股</t>
  </si>
  <si>
    <t>满帮集团</t>
  </si>
  <si>
    <t>开市客(COSTCO)</t>
  </si>
  <si>
    <t>思科(CISCO)</t>
  </si>
  <si>
    <t>财捷(INTUIT)</t>
  </si>
  <si>
    <t>直觉外科(INTUITIVE)</t>
  </si>
  <si>
    <t>科天半导体(KLA)</t>
  </si>
  <si>
    <t>微芯科技(MICROCHIP)</t>
  </si>
  <si>
    <t>微软(MICROSOFT)</t>
  </si>
  <si>
    <t>奈飞(NETFLIX)</t>
  </si>
  <si>
    <t>沛齐(PAYCHEX)</t>
  </si>
  <si>
    <t>帕卡(PACCAR)</t>
  </si>
  <si>
    <t>百事(PEPSICO)</t>
  </si>
  <si>
    <t>高通(QUALCOMM)</t>
  </si>
  <si>
    <t>罗斯百货(ROSS)</t>
  </si>
  <si>
    <t>CRWD.O</t>
  </si>
  <si>
    <t>CROWDSTRIKE</t>
  </si>
  <si>
    <t>应用材料(APPLIED MATERIAL)</t>
  </si>
  <si>
    <t>安西斯(ANSYS)</t>
  </si>
  <si>
    <t>铿腾电子(CADENCE)</t>
  </si>
  <si>
    <t>特许通讯(CHARTER COMMUNICATIONS)</t>
  </si>
  <si>
    <t>科帕特(COPART)</t>
  </si>
  <si>
    <t>高知特科技(COGNIZANT)</t>
  </si>
  <si>
    <t>德康医疗(DEXCOM)</t>
  </si>
  <si>
    <t>艺电(ELECTRONIC ARTS)</t>
  </si>
  <si>
    <t>吉利德科学(GILEAD SCIENCES)</t>
  </si>
  <si>
    <t>露露乐蒙(LULULEMON)</t>
  </si>
  <si>
    <t>怪物饮料(MONSTER BEVERAGE)</t>
  </si>
  <si>
    <t>美光科技(MICRON TECHNOLOGY)</t>
  </si>
  <si>
    <t>恩智浦半导体(NXP SEMICONDUCTORS)</t>
  </si>
  <si>
    <t>新思科技(SYNOPSYS)</t>
  </si>
  <si>
    <t>特斯拉(TESLA)</t>
  </si>
  <si>
    <t>德州仪器(TEXAS INSTRUMENTS)</t>
  </si>
  <si>
    <t>日期</t>
    <phoneticPr fontId="4" type="noConversion"/>
  </si>
  <si>
    <t>脸书(META PLATFORMS)</t>
  </si>
  <si>
    <t>BZ.O</t>
  </si>
  <si>
    <t>BOSS直聘</t>
  </si>
  <si>
    <t>ABNB.O</t>
  </si>
  <si>
    <t>爱彼迎(AIRBNB)</t>
  </si>
  <si>
    <t>DDOG.O</t>
  </si>
  <si>
    <t>DATADOG</t>
  </si>
  <si>
    <t>FTNT.O</t>
  </si>
  <si>
    <t>飞塔(FORTINET)</t>
  </si>
  <si>
    <t>PANW.O</t>
  </si>
  <si>
    <t>PALO ALTO NETWORKS</t>
  </si>
  <si>
    <t>ZS.O</t>
  </si>
  <si>
    <t>ZSCALER</t>
  </si>
  <si>
    <t>同程旅行</t>
  </si>
  <si>
    <t>HON.O</t>
  </si>
  <si>
    <t>霍尼韦尔国际(HONEYWELL INTERNATIONAL)</t>
  </si>
  <si>
    <t>ODFL.O</t>
  </si>
  <si>
    <t>统领货运线</t>
  </si>
  <si>
    <t>CEG.O</t>
  </si>
  <si>
    <t>CONSTELLATION ENERGY</t>
  </si>
  <si>
    <t>AZN.O</t>
  </si>
  <si>
    <t>阿斯利康(ASTRA ZENECA)</t>
  </si>
  <si>
    <t>META.O</t>
  </si>
  <si>
    <t>9618.HK</t>
  </si>
  <si>
    <t>京东集团-SW</t>
  </si>
  <si>
    <t>9626.HK</t>
  </si>
  <si>
    <t>9888.HK</t>
  </si>
  <si>
    <t>百度集团-SW</t>
  </si>
  <si>
    <t>9961.HK</t>
  </si>
  <si>
    <t>携程集团-S</t>
  </si>
  <si>
    <t>9988.HK</t>
  </si>
  <si>
    <t>阿里巴巴-SW</t>
  </si>
  <si>
    <t>9999.HK</t>
  </si>
  <si>
    <t>网易-S</t>
  </si>
  <si>
    <t>贝宝(PAYPAL)</t>
  </si>
  <si>
    <t>哔哩哔哩-W</t>
  </si>
  <si>
    <t>BKR.O</t>
  </si>
  <si>
    <t>贝克休斯(BAKER HUGHES)</t>
  </si>
  <si>
    <t>CSGP.O</t>
  </si>
  <si>
    <t>科斯塔(COSTAR)</t>
  </si>
  <si>
    <t>FANG.O</t>
  </si>
  <si>
    <t>DIAMONDBACK能源</t>
  </si>
  <si>
    <t>GFS.O</t>
  </si>
  <si>
    <t>WBD.O</t>
  </si>
  <si>
    <t>WARNER BROS. DISCOVERY</t>
  </si>
  <si>
    <t>GEHC.O</t>
  </si>
  <si>
    <t>1797.HK</t>
  </si>
  <si>
    <t>东方甄选</t>
  </si>
  <si>
    <t>ON.O</t>
  </si>
  <si>
    <t>安森美半导体(ON SEMICONDUCTOR)</t>
  </si>
  <si>
    <t>TTD.O</t>
  </si>
  <si>
    <t>TRADE DESK</t>
  </si>
  <si>
    <t>格芯(GLOBALFOUNDRIES)</t>
  </si>
  <si>
    <t xml:space="preserve"> </t>
    <phoneticPr fontId="1" type="noConversion"/>
  </si>
  <si>
    <t>奇富科技</t>
  </si>
  <si>
    <t>GE HEALTHCARE</t>
  </si>
  <si>
    <t>ARM.O</t>
  </si>
  <si>
    <t>ARM</t>
  </si>
  <si>
    <t>CCEP.O</t>
  </si>
  <si>
    <t>可口可乐欧洲合伙</t>
  </si>
  <si>
    <t>CDW.O</t>
  </si>
  <si>
    <t>CDW</t>
  </si>
  <si>
    <t>DASH.O</t>
  </si>
  <si>
    <t>DOORDASH</t>
  </si>
  <si>
    <t>LIN.O</t>
  </si>
  <si>
    <t>LINDE</t>
  </si>
  <si>
    <t>MDB.O</t>
  </si>
  <si>
    <t>MONGODB</t>
  </si>
  <si>
    <t>ROP.O</t>
  </si>
  <si>
    <t>儒博科技(ROPER TECHNOLOGIES)</t>
  </si>
  <si>
    <t>TTWO.O</t>
  </si>
  <si>
    <t>TAKE-TWO互动软件</t>
  </si>
  <si>
    <t>9885.HK</t>
  </si>
  <si>
    <t>药师帮</t>
  </si>
  <si>
    <t>9890.HK</t>
  </si>
  <si>
    <t>中旭未来</t>
  </si>
  <si>
    <t>美元</t>
    <phoneticPr fontId="1" type="noConversion"/>
  </si>
  <si>
    <t>实时汇率（CFETS）</t>
    <phoneticPr fontId="1" type="noConversion"/>
  </si>
  <si>
    <t>fixed_substitution_amount</t>
    <phoneticPr fontId="1" type="noConversion"/>
  </si>
  <si>
    <t>513050.OF</t>
    <phoneticPr fontId="1" type="noConversion"/>
  </si>
  <si>
    <t>申购成本</t>
    <phoneticPr fontId="1" type="noConversion"/>
  </si>
  <si>
    <t>涨幅</t>
    <phoneticPr fontId="1" type="noConversion"/>
  </si>
  <si>
    <t>港对美</t>
    <phoneticPr fontId="1" type="noConversion"/>
  </si>
  <si>
    <t>当天</t>
    <phoneticPr fontId="1" type="noConversion"/>
  </si>
  <si>
    <t>ETF申赎成分信息</t>
    <phoneticPr fontId="1" type="noConversion"/>
  </si>
  <si>
    <t>20240716</t>
    <phoneticPr fontId="4" type="noConversion"/>
  </si>
  <si>
    <t>20240716</t>
    <phoneticPr fontId="1" type="noConversion"/>
  </si>
  <si>
    <t>0241.HK</t>
    <phoneticPr fontId="4" type="noConversion"/>
  </si>
  <si>
    <t>AAPL.O</t>
    <phoneticPr fontId="1" type="noConversion"/>
  </si>
  <si>
    <t>苹果(APPLE)</t>
    <phoneticPr fontId="4" type="noConversion"/>
  </si>
  <si>
    <t>退补</t>
    <phoneticPr fontId="4" type="noConversion"/>
  </si>
  <si>
    <t>阿里健康</t>
    <phoneticPr fontId="4" type="noConversion"/>
  </si>
  <si>
    <t>2024-07-16</t>
    <phoneticPr fontId="4" type="noConversion"/>
  </si>
  <si>
    <t>2024-07-17</t>
    <phoneticPr fontId="4" type="noConversion"/>
  </si>
  <si>
    <t>2024-07-15</t>
    <phoneticPr fontId="4" type="noConversion"/>
  </si>
  <si>
    <t>数据集名称</t>
    <phoneticPr fontId="1" type="noConversion"/>
  </si>
  <si>
    <t>列4</t>
  </si>
  <si>
    <t>列5</t>
  </si>
  <si>
    <t>列1</t>
    <phoneticPr fontId="1" type="noConversion"/>
  </si>
  <si>
    <t>列2</t>
    <phoneticPr fontId="1" type="noConversion"/>
  </si>
  <si>
    <t>列3</t>
    <phoneticPr fontId="1" type="noConversion"/>
  </si>
  <si>
    <t>收盘价</t>
    <phoneticPr fontId="1" type="noConversion"/>
  </si>
  <si>
    <t>总NAV</t>
    <phoneticPr fontId="1" type="noConversion"/>
  </si>
  <si>
    <r>
      <rPr>
        <sz val="10"/>
        <rFont val="宋体"/>
        <family val="2"/>
        <charset val="134"/>
      </rPr>
      <t>总</t>
    </r>
    <r>
      <rPr>
        <sz val="10"/>
        <rFont val="Arial"/>
        <family val="2"/>
      </rPr>
      <t>NAV</t>
    </r>
    <phoneticPr fontId="1" type="noConversion"/>
  </si>
  <si>
    <t>列6</t>
  </si>
  <si>
    <t>列6</t>
    <phoneticPr fontId="1" type="noConversion"/>
  </si>
  <si>
    <t>列1</t>
  </si>
  <si>
    <t>列2</t>
  </si>
  <si>
    <t>列3</t>
  </si>
  <si>
    <t>列7</t>
  </si>
  <si>
    <t>列8</t>
  </si>
  <si>
    <t>2024-07-12</t>
    <phoneticPr fontId="4" type="noConversion"/>
  </si>
  <si>
    <t>7.12收盘价</t>
    <phoneticPr fontId="1" type="noConversion"/>
  </si>
  <si>
    <r>
      <t>7.11</t>
    </r>
    <r>
      <rPr>
        <sz val="10"/>
        <rFont val="宋体"/>
        <family val="3"/>
        <charset val="134"/>
      </rPr>
      <t>收盘价</t>
    </r>
    <phoneticPr fontId="1" type="noConversion"/>
  </si>
  <si>
    <r>
      <t>7.15</t>
    </r>
    <r>
      <rPr>
        <sz val="10"/>
        <rFont val="宋体"/>
        <family val="2"/>
        <charset val="134"/>
      </rPr>
      <t>收盘价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</si>
</sst>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###,###,##0.0000"/>
    <numFmt numFmtId="177" formatCode="0.0000"/>
    <numFmt numFmtId="178" formatCode="###,###,##0.00"/>
    <numFmt numFmtId="179" formatCode="0.00_ ;[Red]\-0.00\ "/>
    <numFmt numFmtId="180" formatCode="yyyy\-mm\-dd"/>
    <numFmt numFmtId="181" formatCode="#,##0.00%;[Red]\-#,##0.00%"/>
    <numFmt numFmtId="182" formatCode="###,###,##0.000"/>
    <numFmt numFmtId="183" formatCode="#,##0.######"/>
    <numFmt numFmtId="184" formatCode="#,##0.00_ "/>
    <numFmt numFmtId="185" formatCode="#,##0.000"/>
    <numFmt numFmtId="186" formatCode="0.00000"/>
    <numFmt numFmtId="187" formatCode="###,###,##0.00000"/>
  </numFmts>
  <fonts count="19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Arial"/>
      <family val="2"/>
    </font>
    <font>
      <sz val="9"/>
      <name val="宋体"/>
      <family val="2"/>
      <charset val="134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Arial"/>
      <family val="2"/>
    </font>
    <font>
      <b/>
      <sz val="14"/>
      <color rgb="FFFF3300"/>
      <name val="宋体"/>
      <family val="3"/>
      <charset val="134"/>
      <scheme val="minor"/>
    </font>
    <font>
      <sz val="16"/>
      <color rgb="FFFF0000"/>
      <name val="Arial"/>
      <family val="2"/>
    </font>
    <font>
      <sz val="14"/>
      <color rgb="FFFF0000"/>
      <name val="Arial"/>
      <family val="2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3300"/>
      <name val="宋体"/>
      <family val="3"/>
      <charset val="134"/>
      <scheme val="minor"/>
    </font>
    <font>
      <sz val="10"/>
      <name val="宋体"/>
      <family val="2"/>
      <charset val="134"/>
    </font>
    <font>
      <sz val="10"/>
      <name val="Arial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2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3" fontId="10" fillId="0" borderId="0" xfId="0" applyNumberFormat="1" applyFont="1">
      <alignment vertical="center"/>
    </xf>
    <xf numFmtId="3" fontId="9" fillId="0" borderId="0" xfId="0" applyNumberFormat="1" applyFont="1" applyAlignment="1">
      <alignment horizontal="center" vertical="center"/>
    </xf>
    <xf numFmtId="10" fontId="11" fillId="0" borderId="0" xfId="1" applyNumberFormat="1" applyFont="1">
      <alignment vertical="center"/>
    </xf>
    <xf numFmtId="2" fontId="11" fillId="0" borderId="0" xfId="1" applyNumberFormat="1" applyFont="1">
      <alignment vertical="center"/>
    </xf>
    <xf numFmtId="1" fontId="10" fillId="0" borderId="0" xfId="0" applyNumberFormat="1" applyFont="1">
      <alignment vertical="center"/>
    </xf>
    <xf numFmtId="0" fontId="12" fillId="0" borderId="0" xfId="0" applyFont="1">
      <alignment vertical="center"/>
    </xf>
    <xf numFmtId="4" fontId="0" fillId="0" borderId="0" xfId="0" applyNumberFormat="1">
      <alignment vertical="center"/>
    </xf>
    <xf numFmtId="183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84" fontId="10" fillId="0" borderId="0" xfId="0" applyNumberFormat="1" applyFont="1">
      <alignment vertical="center"/>
    </xf>
    <xf numFmtId="40" fontId="10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6" fontId="10" fillId="0" borderId="0" xfId="0" applyNumberFormat="1" applyFont="1" applyAlignment="1">
      <alignment horizontal="center" vertical="center"/>
    </xf>
    <xf numFmtId="185" fontId="10" fillId="0" borderId="0" xfId="0" applyNumberFormat="1" applyFont="1">
      <alignment vertical="center"/>
    </xf>
    <xf numFmtId="2" fontId="11" fillId="0" borderId="0" xfId="1" applyNumberFormat="1" applyFont="1" applyFill="1">
      <alignment vertical="center"/>
    </xf>
    <xf numFmtId="178" fontId="14" fillId="0" borderId="0" xfId="0" applyNumberFormat="1" applyFont="1" applyAlignment="1">
      <alignment horizontal="center" vertical="center"/>
    </xf>
    <xf numFmtId="1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7" fillId="0" borderId="0" xfId="0" applyNumberFormat="1" applyFont="1">
      <alignment vertical="center"/>
    </xf>
    <xf numFmtId="10" fontId="15" fillId="0" borderId="0" xfId="1" applyNumberFormat="1" applyFont="1" applyFill="1">
      <alignment vertical="center"/>
    </xf>
    <xf numFmtId="3" fontId="7" fillId="0" borderId="0" xfId="0" applyNumberFormat="1" applyFont="1" applyAlignment="1">
      <alignment horizontal="center" vertical="center"/>
    </xf>
    <xf numFmtId="10" fontId="7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7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3" fontId="0" fillId="0" borderId="0" xfId="0" applyNumberFormat="1" applyAlignment="1">
      <alignment horizontal="right" vertical="center"/>
    </xf>
    <xf numFmtId="176" fontId="13" fillId="0" borderId="0" xfId="0" applyNumberFormat="1" applyFont="1">
      <alignment vertical="center"/>
    </xf>
    <xf numFmtId="3" fontId="11" fillId="0" borderId="0" xfId="1" applyNumberFormat="1" applyFont="1" applyFill="1">
      <alignment vertical="center"/>
    </xf>
    <xf numFmtId="2" fontId="7" fillId="0" borderId="0" xfId="0" applyNumberFormat="1" applyFont="1">
      <alignment vertical="center"/>
    </xf>
    <xf numFmtId="4" fontId="10" fillId="0" borderId="0" xfId="0" applyNumberFormat="1" applyFont="1">
      <alignment vertical="center"/>
    </xf>
    <xf numFmtId="10" fontId="16" fillId="0" borderId="0" xfId="1" applyNumberFormat="1" applyFont="1" applyFill="1">
      <alignment vertical="center"/>
    </xf>
    <xf numFmtId="0" fontId="7" fillId="0" borderId="0" xfId="0" applyFont="1" applyAlignment="1">
      <alignment horizontal="center" vertical="center" wrapText="1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right" vertical="center" wrapText="1"/>
    </xf>
    <xf numFmtId="0" fontId="0" fillId="5" borderId="0" xfId="0" applyFill="1" applyAlignment="1">
      <alignment vertical="center" wrapText="1"/>
    </xf>
    <xf numFmtId="4" fontId="0" fillId="5" borderId="0" xfId="0" applyNumberFormat="1" applyFill="1">
      <alignment vertical="center"/>
    </xf>
    <xf numFmtId="2" fontId="0" fillId="5" borderId="0" xfId="0" applyNumberFormat="1" applyFill="1" applyAlignment="1">
      <alignment vertical="center" wrapText="1"/>
    </xf>
    <xf numFmtId="10" fontId="7" fillId="0" borderId="0" xfId="1" applyNumberFormat="1" applyFont="1" applyFill="1">
      <alignment vertical="center"/>
    </xf>
    <xf numFmtId="2" fontId="7" fillId="0" borderId="0" xfId="0" applyNumberFormat="1" applyFont="1" applyAlignment="1">
      <alignment horizontal="center" vertical="center"/>
    </xf>
    <xf numFmtId="182" fontId="7" fillId="4" borderId="0" xfId="0" applyNumberFormat="1" applyFont="1" applyFill="1" applyAlignment="1">
      <alignment horizontal="center" vertical="center"/>
    </xf>
    <xf numFmtId="10" fontId="16" fillId="4" borderId="0" xfId="1" applyNumberFormat="1" applyFont="1" applyFill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82" fontId="7" fillId="3" borderId="0" xfId="0" applyNumberFormat="1" applyFont="1" applyFill="1" applyAlignment="1">
      <alignment horizontal="center" vertical="center"/>
    </xf>
    <xf numFmtId="10" fontId="14" fillId="3" borderId="0" xfId="1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183" fontId="0" fillId="0" borderId="0" xfId="0" applyNumberFormat="1">
      <alignment vertical="center"/>
    </xf>
    <xf numFmtId="14" fontId="0" fillId="0" borderId="0" xfId="0" applyNumberFormat="1">
      <alignment vertical="center"/>
    </xf>
    <xf numFmtId="49" fontId="8" fillId="0" borderId="0" xfId="0" applyNumberFormat="1" applyFont="1" applyAlignment="1">
      <alignment horizontal="center" vertical="center"/>
    </xf>
    <xf numFmtId="180" fontId="8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8" fillId="5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8" fillId="0" borderId="0" xfId="0" applyNumberFormat="1" applyFont="1" applyAlignment="1">
      <alignment horizontal="center" vertical="center"/>
    </xf>
    <xf numFmtId="187" fontId="8" fillId="0" borderId="0" xfId="0" applyNumberFormat="1" applyFon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86" fontId="8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8" fillId="2" borderId="0" xfId="0" applyNumberFormat="1" applyFont="1" applyFill="1" applyAlignment="1">
      <alignment horizontal="right" vertical="center"/>
    </xf>
    <xf numFmtId="49" fontId="0" fillId="2" borderId="0" xfId="0" applyNumberFormat="1" applyFill="1" applyAlignment="1">
      <alignment horizontal="right" vertical="center"/>
    </xf>
    <xf numFmtId="180" fontId="8" fillId="2" borderId="0" xfId="0" applyNumberFormat="1" applyFont="1" applyFill="1" applyAlignment="1">
      <alignment horizontal="right" vertical="center"/>
    </xf>
    <xf numFmtId="180" fontId="0" fillId="2" borderId="0" xfId="0" applyNumberFormat="1" applyFill="1" applyAlignment="1">
      <alignment horizontal="right" vertical="center"/>
    </xf>
    <xf numFmtId="3" fontId="8" fillId="2" borderId="0" xfId="0" applyNumberFormat="1" applyFont="1" applyFill="1" applyAlignment="1">
      <alignment horizontal="right" vertical="center"/>
    </xf>
    <xf numFmtId="3" fontId="0" fillId="2" borderId="0" xfId="0" applyNumberFormat="1" applyFill="1" applyAlignment="1">
      <alignment horizontal="right" vertical="center"/>
    </xf>
    <xf numFmtId="183" fontId="8" fillId="2" borderId="0" xfId="0" applyNumberFormat="1" applyFont="1" applyFill="1" applyAlignment="1">
      <alignment horizontal="right" vertical="center"/>
    </xf>
    <xf numFmtId="183" fontId="0" fillId="2" borderId="0" xfId="0" applyNumberFormat="1" applyFill="1" applyAlignment="1">
      <alignment horizontal="right" vertical="center"/>
    </xf>
    <xf numFmtId="49" fontId="0" fillId="6" borderId="0" xfId="0" applyNumberFormat="1" applyFill="1" applyAlignment="1">
      <alignment horizontal="right" vertical="center"/>
    </xf>
    <xf numFmtId="180" fontId="0" fillId="6" borderId="0" xfId="0" applyNumberFormat="1" applyFill="1" applyAlignment="1">
      <alignment horizontal="right" vertical="center"/>
    </xf>
    <xf numFmtId="3" fontId="0" fillId="6" borderId="0" xfId="0" applyNumberFormat="1" applyFill="1" applyAlignment="1">
      <alignment horizontal="right" vertical="center"/>
    </xf>
    <xf numFmtId="183" fontId="0" fillId="6" borderId="0" xfId="0" applyNumberFormat="1" applyFill="1" applyAlignment="1">
      <alignment horizontal="right" vertical="center"/>
    </xf>
  </cellXfs>
  <cellStyles count="2">
    <cellStyle name="百分比" xfId="1" builtinId="5"/>
    <cellStyle name="常规" xfId="0" builtinId="0"/>
  </cellStyles>
  <dxfs count="30"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  <numFmt numFmtId="177" formatCode="0.0000"/>
      <alignment horizontal="center" vertical="center" textRotation="0" wrapText="0" indent="0" justifyLastLine="0" shrinkToFit="0" readingOrder="0"/>
    </dxf>
    <dxf>
      <numFmt numFmtId="183" formatCode="#,##0.######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80" formatCode="yyyy\-mm\-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FFFFCC"/>
      <color rgb="FFFFFF66"/>
      <color rgb="FFCCFFFF"/>
      <color rgb="FF66CCFF"/>
      <color rgb="FFFFCC00"/>
      <color rgb="FFFFFF00"/>
      <color rgb="FFFF3300"/>
      <color rgb="FFCC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0.92964999999999998</v>
        <stp/>
        <stp>HKDCNY.IB</stp>
        <stp>Rt_Price</stp>
        <tr r="C2" s="26"/>
      </tp>
      <tp>
        <v>7.2585000000000006</v>
        <stp/>
        <stp>USDCNY.IB</stp>
        <stp>Rt_Price</stp>
        <tr r="B2" s="26"/>
      </tp>
      <tp>
        <v>1.4950000000000001</v>
        <stp/>
        <stp>513100.SH</stp>
        <stp>Ask_Price1</stp>
        <tr r="B7" s="26"/>
      </tp>
      <tp>
        <v>1.0489999999999999</v>
        <stp/>
        <stp>513050.SH</stp>
        <stp>Ask_Price1</stp>
        <tr r="B5" s="26"/>
      </tp>
      <tp>
        <v>1.494</v>
        <stp/>
        <stp>513100.SH</stp>
        <stp>Bid_Price1</stp>
        <tr r="B8" s="26"/>
      </tp>
      <tp>
        <v>1.048</v>
        <stp/>
        <stp>513050.SH</stp>
        <stp>Bid_Price1</stp>
        <tr r="B6" s="26"/>
      </tp>
      <tp>
        <v>0.25</v>
        <stp/>
        <stp>3690.HK</stp>
        <stp>PctChg</stp>
        <tr r="G3" s="26"/>
      </tp>
      <tp>
        <v>-0.70000000000000007</v>
        <stp/>
        <stp>0700.HK</stp>
        <stp>PctChg</stp>
        <tr r="G2" s="26"/>
      </tp>
      <tp>
        <v>0.36000000000000004</v>
        <stp/>
        <stp>1810.HK</stp>
        <stp>PctChg</stp>
        <tr r="G4" s="2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G\Wind\DataBrowse\XLA\WindFunc.xla" TargetMode="External"/><Relationship Id="rId1" Type="http://schemas.openxmlformats.org/officeDocument/2006/relationships/externalLinkPath" Target="file:///D:\MG\Wind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s_dq_close"/>
      <definedName name="wset"/>
    </definedNames>
    <sheetDataSet>
      <sheetData sheetId="0"/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4C02831-9CE8-401C-A104-39CE7B4FB07A}" autoFormatId="16" applyNumberFormats="0" applyBorderFormats="0" applyFontFormats="0" applyPatternFormats="0" applyAlignmentFormats="0" applyWidthHeightFormats="0">
  <queryTableRefresh nextId="11" unboundColumnsRight="1">
    <queryTableFields count="8">
      <queryTableField id="1" name="数据集名称" tableColumnId="1"/>
      <queryTableField id="2" name="ETF申赎成分信息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10" dataBound="0" tableColumnId="8"/>
    </queryTableFields>
    <queryTableDeletedFields count="2">
      <deletedField name="Column8"/>
      <deletedField name="Column9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B88EE9-F456-4F34-B5EE-C55E39F082E6}" name="中概互联实时折溢价__3" displayName="中概互联实时折溢价__3" ref="A1:H40" tableType="queryTable" totalsRowShown="0" headerRowDxfId="23" dataDxfId="22">
  <autoFilter ref="A1:H40" xr:uid="{96B88EE9-F456-4F34-B5EE-C55E39F082E6}"/>
  <tableColumns count="8">
    <tableColumn id="1" xr3:uid="{8162B73F-783F-4F26-8AB3-06173D701CFA}" uniqueName="1" name="数据集名称" queryTableFieldId="1" dataDxfId="21"/>
    <tableColumn id="2" xr3:uid="{2E1ABDCB-BD5F-403F-8A4C-21F7405ACEA0}" uniqueName="2" name="ETF申赎成分信息" queryTableFieldId="2" dataDxfId="20"/>
    <tableColumn id="3" xr3:uid="{2372788F-B52E-4922-84AD-1314C94AC7B5}" uniqueName="3" name="列1" queryTableFieldId="3" dataDxfId="19"/>
    <tableColumn id="4" xr3:uid="{70871DD7-A816-4194-9AD7-CBC1725CA6CE}" uniqueName="4" name="列2" queryTableFieldId="4" dataDxfId="18"/>
    <tableColumn id="5" xr3:uid="{F8FF142D-EF12-44C5-88DA-B0FA7CDF8DD7}" uniqueName="5" name="列3" queryTableFieldId="5" dataDxfId="17"/>
    <tableColumn id="6" xr3:uid="{87707E07-C2B9-4EF0-BCBA-04012C51ECB1}" uniqueName="6" name="列4" queryTableFieldId="6" dataDxfId="16"/>
    <tableColumn id="7" xr3:uid="{33AA7408-D81F-468B-9CDE-018A55FF2656}" uniqueName="7" name="列5" queryTableFieldId="7" dataDxfId="15"/>
    <tableColumn id="8" xr3:uid="{A5AB035E-4F81-49D4-BA8C-4B74FE215A9D}" uniqueName="8" name="列6" queryTableFieldId="10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6143DD-91AD-4C22-BD9F-1374B89E770A}" name="中概互联实时折溢价__4" displayName="中概互联实时折溢价__4" ref="A1:J40" totalsRowShown="0" headerRowDxfId="11" dataDxfId="10">
  <autoFilter ref="A1:J40" xr:uid="{746143DD-91AD-4C22-BD9F-1374B89E770A}"/>
  <tableColumns count="10">
    <tableColumn id="1" xr3:uid="{82A59677-994B-4B18-9B31-A5C874AC5B3C}" name="数据集名称" dataDxfId="9"/>
    <tableColumn id="2" xr3:uid="{D667C0A7-C023-45B8-90E9-BFC31019B22F}" name="ETF申赎成分信息" dataDxfId="8"/>
    <tableColumn id="3" xr3:uid="{EDC664D5-F0B3-4F5A-B6E5-F38DB281A8B5}" name="列1" dataDxfId="7"/>
    <tableColumn id="4" xr3:uid="{31562C07-C2A3-41E5-A7FF-5255E3940301}" name="列2" dataDxfId="6"/>
    <tableColumn id="5" xr3:uid="{198E1F0B-A3E3-45B3-91F5-F9DEBC6579E4}" name="列3" dataDxfId="5"/>
    <tableColumn id="6" xr3:uid="{0B8AFAA2-CCB6-441C-A509-6CEC76E84507}" name="列4" dataDxfId="4"/>
    <tableColumn id="7" xr3:uid="{15E23FF6-17D4-49C9-8217-81099D59BC39}" name="列5" dataDxfId="3"/>
    <tableColumn id="8" xr3:uid="{CA705DE8-4FF2-420B-9E9E-1CE253DCAAA1}" name="列6" dataDxfId="2"/>
    <tableColumn id="9" xr3:uid="{10DD50F8-22B5-4B34-99DC-6013F59F3E11}" name="列7" dataDxfId="1"/>
    <tableColumn id="10" xr3:uid="{8F7DF434-068A-4D18-A119-D0D356D81406}" name="列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P29"/>
  <sheetViews>
    <sheetView workbookViewId="0">
      <selection activeCell="C27" sqref="C27"/>
    </sheetView>
  </sheetViews>
  <sheetFormatPr defaultColWidth="9.1796875" defaultRowHeight="14" x14ac:dyDescent="0.25"/>
  <cols>
    <col min="1" max="1" width="15.453125" style="36" customWidth="1"/>
    <col min="2" max="3" width="12.26953125" style="36" bestFit="1" customWidth="1"/>
    <col min="4" max="4" width="13" style="36" customWidth="1"/>
    <col min="5" max="5" width="12.7265625" style="36" bestFit="1" customWidth="1"/>
    <col min="6" max="6" width="10.26953125" style="36" bestFit="1" customWidth="1"/>
    <col min="7" max="7" width="12" style="36" bestFit="1" customWidth="1"/>
    <col min="8" max="8" width="13.26953125" style="36" hidden="1" customWidth="1"/>
    <col min="9" max="9" width="10.7265625" style="36" hidden="1" customWidth="1"/>
    <col min="10" max="10" width="11.54296875" style="36" hidden="1" customWidth="1"/>
    <col min="11" max="11" width="11.54296875" style="36" bestFit="1" customWidth="1"/>
    <col min="12" max="16384" width="9.1796875" style="36"/>
  </cols>
  <sheetData>
    <row r="1" spans="1:11" ht="15" customHeight="1" x14ac:dyDescent="0.25">
      <c r="A1" s="38"/>
      <c r="B1" s="41" t="s">
        <v>145</v>
      </c>
      <c r="C1" s="41" t="s">
        <v>146</v>
      </c>
      <c r="F1" s="37"/>
      <c r="G1" s="37" t="s">
        <v>311</v>
      </c>
      <c r="K1" s="35"/>
    </row>
    <row r="2" spans="1:11" ht="24" customHeight="1" x14ac:dyDescent="0.25">
      <c r="A2" s="55" t="s">
        <v>307</v>
      </c>
      <c r="B2" s="39">
        <f>RTD("wdf.rtq",,"USDCNY.IB","Rt_Price")</f>
        <v>7.2585000000000006</v>
      </c>
      <c r="C2" s="39">
        <f>RTD("wdf.rtq",,"HKDCNY.IB","Rt_Price")</f>
        <v>0.92964999999999998</v>
      </c>
      <c r="F2" s="34" t="s">
        <v>155</v>
      </c>
      <c r="G2" s="64">
        <f>RTD("wdf.rtq",,"0700.HK","PctChg")/100-0</f>
        <v>-7.000000000000001E-3</v>
      </c>
      <c r="H2" s="36">
        <v>5000000</v>
      </c>
      <c r="J2" s="42" t="e">
        <f>SUM(J3:J9)</f>
        <v>#REF!</v>
      </c>
      <c r="K2" s="37"/>
    </row>
    <row r="3" spans="1:11" ht="15" customHeight="1" x14ac:dyDescent="0.25">
      <c r="E3" s="52"/>
      <c r="F3" s="34" t="s">
        <v>156</v>
      </c>
      <c r="G3" s="64">
        <f>RTD("wdf.rtq",,"3690.HK","PctChg")/100-0</f>
        <v>2.5000000000000001E-3</v>
      </c>
      <c r="H3" s="35" t="e">
        <f>B5*H2/C2*J3/'7.15 513050'!#REF!</f>
        <v>#REF!</v>
      </c>
      <c r="I3" s="35" t="e">
        <f t="shared" ref="I3:I9" si="0">H3*2</f>
        <v>#REF!</v>
      </c>
      <c r="J3" s="42" t="e">
        <f>'7.15 513050'!#REF!</f>
        <v>#REF!</v>
      </c>
      <c r="K3" s="40"/>
    </row>
    <row r="4" spans="1:11" ht="15" customHeight="1" x14ac:dyDescent="0.25">
      <c r="A4" s="37" t="s">
        <v>140</v>
      </c>
      <c r="B4" s="37" t="s">
        <v>143</v>
      </c>
      <c r="C4" s="37" t="s">
        <v>142</v>
      </c>
      <c r="D4" s="65" t="s">
        <v>310</v>
      </c>
      <c r="E4" s="52"/>
      <c r="F4" s="34" t="s">
        <v>175</v>
      </c>
      <c r="G4" s="64">
        <f>RTD("wdf.rtq",,"1810.HK","PctChg")/100-0</f>
        <v>3.6000000000000003E-3</v>
      </c>
      <c r="H4" s="35" t="e">
        <f>B5*H2/C2*J4/'7.15 513050'!#REF!</f>
        <v>#REF!</v>
      </c>
      <c r="I4" s="35" t="e">
        <f t="shared" si="0"/>
        <v>#REF!</v>
      </c>
      <c r="J4" s="42" t="e">
        <f>'7.15 513050'!#REF!</f>
        <v>#REF!</v>
      </c>
      <c r="K4" s="40"/>
    </row>
    <row r="5" spans="1:11" ht="15" customHeight="1" x14ac:dyDescent="0.25">
      <c r="A5" s="43" t="s">
        <v>134</v>
      </c>
      <c r="B5" s="66">
        <f>RTD("wdf.rtq",,A5,"Ask_Price1")-0</f>
        <v>1.0489999999999999</v>
      </c>
      <c r="C5" s="67" t="e">
        <f>'7.15 513050'!#REF!</f>
        <v>#REF!</v>
      </c>
      <c r="D5" s="65"/>
      <c r="E5" s="39"/>
      <c r="G5" s="37" t="s">
        <v>312</v>
      </c>
      <c r="H5" s="35" t="e">
        <f>B5*H2/C2*J5/'7.15 513050'!#REF!</f>
        <v>#REF!</v>
      </c>
      <c r="I5" s="35" t="e">
        <f t="shared" si="0"/>
        <v>#REF!</v>
      </c>
      <c r="J5" s="42" t="e">
        <f>'7.15 513050'!#REF!</f>
        <v>#REF!</v>
      </c>
      <c r="K5" s="40"/>
    </row>
    <row r="6" spans="1:11" ht="15" customHeight="1" x14ac:dyDescent="0.25">
      <c r="A6" s="44" t="s">
        <v>141</v>
      </c>
      <c r="B6" s="66">
        <f>RTD("wdf.rtq",,A5,"Bid_Price1")-0</f>
        <v>1.048</v>
      </c>
      <c r="C6" s="67" t="e">
        <f>'7.15 513050'!#REF!</f>
        <v>#REF!</v>
      </c>
      <c r="D6" s="68" t="e">
        <f>'7.15 513050'!#REF!</f>
        <v>#REF!</v>
      </c>
      <c r="F6" s="34" t="s">
        <v>168</v>
      </c>
      <c r="G6" s="64" t="e">
        <f>'7.15 513050'!#REF!</f>
        <v>#REF!</v>
      </c>
      <c r="H6" s="35" t="e">
        <f>B5*H2/C2*J6/'7.15 513050'!#REF!</f>
        <v>#REF!</v>
      </c>
      <c r="I6" s="35" t="e">
        <f t="shared" si="0"/>
        <v>#REF!</v>
      </c>
      <c r="J6" s="42" t="e">
        <f>'7.15 513050'!#REF!</f>
        <v>#REF!</v>
      </c>
      <c r="K6" s="40"/>
    </row>
    <row r="7" spans="1:11" ht="15" customHeight="1" x14ac:dyDescent="0.25">
      <c r="A7" s="45" t="s">
        <v>144</v>
      </c>
      <c r="B7" s="69">
        <f>RTD("wdf.rtq",,A7,"Ask_Price1")</f>
        <v>1.4950000000000001</v>
      </c>
      <c r="C7" s="70" t="e">
        <f>纳指ETF折溢价!#REF!+0</f>
        <v>#REF!</v>
      </c>
      <c r="D7" s="65"/>
      <c r="E7" s="54"/>
      <c r="F7" s="34" t="s">
        <v>169</v>
      </c>
      <c r="G7" s="64" t="e">
        <f>'7.15 513050'!#REF!</f>
        <v>#REF!</v>
      </c>
      <c r="H7" s="35" t="e">
        <f>B5*H2/C2*J7/'7.15 513050'!#REF!</f>
        <v>#REF!</v>
      </c>
      <c r="I7" s="35" t="e">
        <f t="shared" si="0"/>
        <v>#REF!</v>
      </c>
      <c r="J7" s="42" t="e">
        <f>'7.15 513050'!#REF!</f>
        <v>#REF!</v>
      </c>
      <c r="K7" s="35"/>
    </row>
    <row r="8" spans="1:11" ht="15" customHeight="1" x14ac:dyDescent="0.25">
      <c r="A8" s="46" t="s">
        <v>161</v>
      </c>
      <c r="B8" s="69">
        <f>RTD("wdf.rtq",,A7,"Bid_Price1")</f>
        <v>1.494</v>
      </c>
      <c r="C8" s="70" t="e">
        <f>纳指ETF折溢价!#REF!</f>
        <v>#REF!</v>
      </c>
      <c r="D8" s="68" t="e">
        <f>纳指ETF折溢价!#REF!</f>
        <v>#REF!</v>
      </c>
      <c r="E8" s="54"/>
      <c r="F8" s="34" t="s">
        <v>191</v>
      </c>
      <c r="G8" s="64" t="e">
        <f>'7.15 513050'!#REF!</f>
        <v>#REF!</v>
      </c>
      <c r="H8" s="35" t="e">
        <f>B5*H2/C2*J8/'7.15 513050'!#REF!</f>
        <v>#REF!</v>
      </c>
      <c r="I8" s="35" t="e">
        <f t="shared" si="0"/>
        <v>#REF!</v>
      </c>
      <c r="J8" s="42" t="e">
        <f>'7.15 513050'!#REF!</f>
        <v>#REF!</v>
      </c>
      <c r="K8" s="35"/>
    </row>
    <row r="9" spans="1:11" ht="15" customHeight="1" x14ac:dyDescent="0.25">
      <c r="F9" s="34" t="s">
        <v>160</v>
      </c>
      <c r="G9" s="64" t="e">
        <f>'7.15 513050'!#REF!</f>
        <v>#REF!</v>
      </c>
      <c r="H9" s="35" t="e">
        <f>B5*H2/C2*J9/'7.15 513050'!#REF!</f>
        <v>#REF!</v>
      </c>
      <c r="I9" s="35" t="e">
        <f t="shared" si="0"/>
        <v>#REF!</v>
      </c>
      <c r="J9" s="42" t="e">
        <f>'7.15 513050'!#REF!</f>
        <v>#REF!</v>
      </c>
      <c r="K9" s="35"/>
    </row>
    <row r="10" spans="1:11" ht="15" customHeight="1" x14ac:dyDescent="0.25"/>
    <row r="11" spans="1:11" ht="15" customHeight="1" x14ac:dyDescent="0.25">
      <c r="F11" s="47"/>
    </row>
    <row r="12" spans="1:11" ht="15" customHeight="1" x14ac:dyDescent="0.25"/>
    <row r="13" spans="1:11" ht="15" customHeight="1" x14ac:dyDescent="0.25"/>
    <row r="14" spans="1:11" ht="15" customHeight="1" x14ac:dyDescent="0.25"/>
    <row r="29" spans="16:16" x14ac:dyDescent="0.25">
      <c r="P29" s="36" t="s">
        <v>283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6"/>
  <sheetViews>
    <sheetView workbookViewId="0">
      <selection activeCell="E7" sqref="E7"/>
    </sheetView>
  </sheetViews>
  <sheetFormatPr defaultColWidth="9.1796875" defaultRowHeight="14" x14ac:dyDescent="0.25"/>
  <cols>
    <col min="1" max="1" width="15.453125" style="10" bestFit="1" customWidth="1"/>
    <col min="2" max="2" width="13.1796875" style="10" bestFit="1" customWidth="1"/>
    <col min="3" max="3" width="13.81640625" style="10" bestFit="1" customWidth="1"/>
    <col min="4" max="5" width="11.54296875" style="13" bestFit="1" customWidth="1"/>
    <col min="6" max="6" width="13.1796875" style="10" customWidth="1"/>
    <col min="7" max="7" width="12.7265625" style="10" bestFit="1" customWidth="1"/>
    <col min="8" max="8" width="15.7265625" style="10" bestFit="1" customWidth="1"/>
    <col min="9" max="9" width="13.54296875" style="10" customWidth="1"/>
    <col min="10" max="10" width="11.26953125" style="10" customWidth="1"/>
    <col min="11" max="11" width="13.81640625" style="10" bestFit="1" customWidth="1"/>
    <col min="12" max="12" width="11.54296875" style="10" bestFit="1" customWidth="1"/>
    <col min="13" max="13" width="9.1796875" style="10"/>
    <col min="14" max="14" width="13.26953125" style="10" bestFit="1" customWidth="1"/>
    <col min="15" max="15" width="10.7265625" style="10" bestFit="1" customWidth="1"/>
    <col min="16" max="19" width="15.7265625" style="10" bestFit="1" customWidth="1"/>
    <col min="20" max="20" width="13.26953125" style="10" bestFit="1" customWidth="1"/>
    <col min="21" max="16384" width="9.1796875" style="10"/>
  </cols>
  <sheetData>
    <row r="1" spans="1:11" x14ac:dyDescent="0.25">
      <c r="D1" s="14" t="s">
        <v>306</v>
      </c>
      <c r="E1" s="14" t="s">
        <v>146</v>
      </c>
      <c r="F1" s="7"/>
      <c r="G1" s="7"/>
    </row>
    <row r="2" spans="1:11" s="8" customFormat="1" ht="17.5" x14ac:dyDescent="0.25">
      <c r="A2" s="7" t="s">
        <v>137</v>
      </c>
      <c r="B2" s="11">
        <v>45489</v>
      </c>
      <c r="C2" s="7" t="s">
        <v>147</v>
      </c>
      <c r="D2" s="29">
        <f>监控界面!B2</f>
        <v>7.2585000000000006</v>
      </c>
      <c r="E2" s="29">
        <f>监控界面!C2+0</f>
        <v>0.92964999999999998</v>
      </c>
      <c r="F2" s="13"/>
      <c r="G2" s="13"/>
      <c r="H2" s="51"/>
      <c r="I2" s="7"/>
    </row>
    <row r="3" spans="1:11" ht="17.5" x14ac:dyDescent="0.25">
      <c r="A3" s="7" t="s">
        <v>138</v>
      </c>
      <c r="B3" s="9">
        <v>45488</v>
      </c>
      <c r="C3" s="7" t="s">
        <v>148</v>
      </c>
      <c r="D3" s="12">
        <f>[1]!s_dq_close("USDCNY.EX",B3,1)</f>
        <v>7.1313000000000004</v>
      </c>
      <c r="E3" s="12">
        <f>[1]!s_dq_close("HKDCNY.EX",B3,1)</f>
        <v>0.91332999999999998</v>
      </c>
      <c r="H3" s="50"/>
    </row>
    <row r="4" spans="1:11" ht="17.5" x14ac:dyDescent="0.25">
      <c r="A4" s="7" t="s">
        <v>139</v>
      </c>
      <c r="B4" s="9">
        <v>45485</v>
      </c>
      <c r="C4" s="7" t="s">
        <v>148</v>
      </c>
      <c r="D4" s="12">
        <f>[1]!s_dq_close("USDCNY.EX",B4,1)</f>
        <v>7.1315</v>
      </c>
      <c r="E4" s="12">
        <f>[1]!s_dq_close("HKDCNY.EX",B4,1)</f>
        <v>0.91339000000000004</v>
      </c>
      <c r="F4" s="13"/>
      <c r="G4" s="13"/>
      <c r="H4" s="15"/>
      <c r="I4" s="12"/>
      <c r="J4" s="17"/>
    </row>
    <row r="5" spans="1:11" x14ac:dyDescent="0.25">
      <c r="A5" s="71" t="s">
        <v>313</v>
      </c>
      <c r="B5" s="11">
        <v>45482</v>
      </c>
      <c r="C5" s="7" t="s">
        <v>148</v>
      </c>
      <c r="D5" s="12">
        <f>[1]!s_dq_close("USDCNY.EX",B5,1)</f>
        <v>7.1310000000000002</v>
      </c>
      <c r="E5" s="12">
        <f>[1]!s_dq_close("HKDCNY.EX",B5,1)</f>
        <v>0.91303999999999996</v>
      </c>
      <c r="F5" s="13"/>
      <c r="G5" s="13"/>
      <c r="H5" s="12"/>
      <c r="I5" s="12"/>
    </row>
    <row r="6" spans="1:11" ht="20" x14ac:dyDescent="0.25">
      <c r="A6" s="8"/>
      <c r="B6" s="16"/>
      <c r="C6" s="18"/>
      <c r="D6" s="14"/>
      <c r="E6" s="16"/>
      <c r="F6" s="18"/>
      <c r="G6" s="28"/>
      <c r="H6" s="28"/>
      <c r="I6" s="7"/>
      <c r="K6" s="32"/>
    </row>
    <row r="7" spans="1:11" ht="17.5" x14ac:dyDescent="0.25">
      <c r="A7" s="8"/>
      <c r="C7" s="29"/>
      <c r="D7" s="12"/>
      <c r="F7" s="12"/>
      <c r="H7" s="33"/>
      <c r="I7" s="17"/>
      <c r="J7" s="17"/>
      <c r="K7" s="13"/>
    </row>
    <row r="8" spans="1:11" ht="17.5" x14ac:dyDescent="0.25">
      <c r="A8" s="8"/>
      <c r="C8" s="50"/>
      <c r="D8" s="12"/>
      <c r="H8" s="15"/>
      <c r="I8" s="17"/>
      <c r="J8" s="17"/>
      <c r="K8" s="13"/>
    </row>
    <row r="9" spans="1:11" x14ac:dyDescent="0.25">
      <c r="I9" s="17"/>
    </row>
    <row r="10" spans="1:11" ht="17.5" x14ac:dyDescent="0.25">
      <c r="A10" s="8"/>
      <c r="D10" s="31"/>
      <c r="E10" s="10"/>
      <c r="G10" s="12"/>
      <c r="H10" s="15"/>
      <c r="I10" s="17"/>
      <c r="K10" s="25"/>
    </row>
    <row r="12" spans="1:11" x14ac:dyDescent="0.25">
      <c r="A12" s="21"/>
      <c r="B12" s="22"/>
      <c r="C12" s="21"/>
      <c r="D12" s="2"/>
      <c r="E12" s="23"/>
      <c r="F12" s="23"/>
      <c r="G12" s="23"/>
      <c r="H12" s="26"/>
      <c r="I12" s="1"/>
      <c r="J12" s="1"/>
    </row>
    <row r="13" spans="1:11" x14ac:dyDescent="0.25">
      <c r="A13" s="4"/>
      <c r="B13" s="6"/>
      <c r="C13" s="24"/>
      <c r="D13" s="4"/>
      <c r="E13" s="25"/>
      <c r="F13" s="25"/>
      <c r="G13" s="25"/>
      <c r="H13" s="4"/>
      <c r="I13" s="25"/>
      <c r="J13" s="25"/>
    </row>
    <row r="14" spans="1:11" x14ac:dyDescent="0.25">
      <c r="A14" s="22"/>
    </row>
    <row r="15" spans="1:11" x14ac:dyDescent="0.25">
      <c r="A15" s="30"/>
      <c r="B15" s="30"/>
      <c r="H15" s="27"/>
    </row>
    <row r="19" spans="1:17" x14ac:dyDescent="0.25">
      <c r="I19" s="6"/>
    </row>
    <row r="22" spans="1:17" x14ac:dyDescent="0.25">
      <c r="C22" s="7"/>
      <c r="D22" s="14"/>
      <c r="E22" s="14"/>
    </row>
    <row r="23" spans="1:17" ht="17.5" x14ac:dyDescent="0.25">
      <c r="A23" s="8"/>
      <c r="C23" s="12"/>
      <c r="D23" s="12"/>
      <c r="F23" s="12"/>
      <c r="H23" s="33"/>
      <c r="I23" s="17"/>
      <c r="Q23" s="13"/>
    </row>
    <row r="24" spans="1:17" ht="17.5" x14ac:dyDescent="0.25">
      <c r="A24" s="8"/>
      <c r="C24" s="50"/>
      <c r="D24" s="12"/>
      <c r="H24" s="15"/>
      <c r="I24" s="15"/>
    </row>
    <row r="26" spans="1:17" ht="17.5" x14ac:dyDescent="0.25">
      <c r="H26" s="15"/>
      <c r="I26" s="5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J40"/>
  <sheetViews>
    <sheetView zoomScaleNormal="100" workbookViewId="0">
      <selection sqref="A1:J40"/>
    </sheetView>
  </sheetViews>
  <sheetFormatPr defaultColWidth="9.1796875" defaultRowHeight="13" x14ac:dyDescent="0.25"/>
  <cols>
    <col min="1" max="1" width="16.6328125" style="48" customWidth="1"/>
    <col min="2" max="2" width="9.6328125" style="48" customWidth="1"/>
    <col min="3" max="3" width="12.26953125" style="48" customWidth="1"/>
    <col min="4" max="4" width="9.6328125" style="48" customWidth="1"/>
    <col min="5" max="6" width="10.6328125" style="48" customWidth="1"/>
    <col min="7" max="7" width="11.6328125" style="48" customWidth="1"/>
    <col min="8" max="8" width="9" style="48" customWidth="1"/>
    <col min="9" max="9" width="12.81640625" style="84" customWidth="1"/>
    <col min="10" max="10" width="12.54296875" style="48" customWidth="1"/>
    <col min="11" max="11" width="15.7265625" style="48" customWidth="1"/>
    <col min="12" max="12" width="18.7265625" style="48" bestFit="1" customWidth="1"/>
    <col min="13" max="16" width="9.1796875" style="48"/>
    <col min="17" max="17" width="12.26953125" style="48" customWidth="1"/>
    <col min="18" max="16384" width="9.1796875" style="48"/>
  </cols>
  <sheetData>
    <row r="1" spans="1:10" ht="16" customHeight="1" x14ac:dyDescent="0.25">
      <c r="A1" s="56" t="s">
        <v>0</v>
      </c>
      <c r="B1" s="56" t="s">
        <v>314</v>
      </c>
      <c r="C1" s="56"/>
      <c r="I1" s="48"/>
    </row>
    <row r="2" spans="1:10" x14ac:dyDescent="0.25">
      <c r="A2" s="56" t="s">
        <v>229</v>
      </c>
      <c r="B2" s="74" t="s">
        <v>324</v>
      </c>
      <c r="C2" s="75"/>
      <c r="D2" s="76">
        <v>45488</v>
      </c>
      <c r="E2" s="48">
        <v>20240716</v>
      </c>
      <c r="F2" s="76">
        <v>45485</v>
      </c>
      <c r="I2" s="48"/>
    </row>
    <row r="3" spans="1:10" x14ac:dyDescent="0.25">
      <c r="A3" s="56" t="s">
        <v>3</v>
      </c>
      <c r="B3" s="74" t="s">
        <v>309</v>
      </c>
      <c r="I3" s="48"/>
    </row>
    <row r="4" spans="1:10" x14ac:dyDescent="0.25">
      <c r="A4" s="48" t="s">
        <v>4</v>
      </c>
      <c r="B4" s="74" t="s">
        <v>5</v>
      </c>
      <c r="C4" s="48" t="s">
        <v>6</v>
      </c>
      <c r="D4" s="48" t="s">
        <v>7</v>
      </c>
      <c r="E4" s="48" t="s">
        <v>8</v>
      </c>
      <c r="F4" s="48" t="s">
        <v>9</v>
      </c>
      <c r="G4" s="48" t="s">
        <v>308</v>
      </c>
      <c r="I4" s="48"/>
    </row>
    <row r="5" spans="1:10" ht="29" customHeight="1" x14ac:dyDescent="0.25">
      <c r="A5" s="56" t="s">
        <v>2</v>
      </c>
      <c r="B5" s="56" t="s">
        <v>3</v>
      </c>
      <c r="C5" s="56" t="s">
        <v>11</v>
      </c>
      <c r="D5" s="56" t="s">
        <v>12</v>
      </c>
      <c r="E5" s="56" t="s">
        <v>13</v>
      </c>
      <c r="F5" s="77" t="s">
        <v>14</v>
      </c>
      <c r="G5" s="56" t="s">
        <v>15</v>
      </c>
      <c r="H5" s="78"/>
      <c r="I5" s="48"/>
      <c r="J5" s="48" t="s">
        <v>331</v>
      </c>
    </row>
    <row r="6" spans="1:10" x14ac:dyDescent="0.25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45488</v>
      </c>
      <c r="B6" s="88" t="s">
        <v>317</v>
      </c>
      <c r="C6" s="88" t="s">
        <v>321</v>
      </c>
      <c r="D6" s="92">
        <v>942</v>
      </c>
      <c r="E6" s="88" t="s">
        <v>320</v>
      </c>
      <c r="F6" s="92">
        <v>10</v>
      </c>
      <c r="G6" s="94">
        <v>2736.14</v>
      </c>
      <c r="H6" s="79"/>
      <c r="I6" s="48"/>
      <c r="J6" s="80">
        <f>[1]!s_dq_close(B6,$B$2,1)</f>
        <v>3.23</v>
      </c>
    </row>
    <row r="7" spans="1:10" x14ac:dyDescent="0.25">
      <c r="A7" s="90">
        <v>45488</v>
      </c>
      <c r="B7" s="88" t="s">
        <v>164</v>
      </c>
      <c r="C7" s="88" t="s">
        <v>165</v>
      </c>
      <c r="D7" s="92">
        <v>916</v>
      </c>
      <c r="E7" s="88" t="s">
        <v>16</v>
      </c>
      <c r="F7" s="92">
        <v>10</v>
      </c>
      <c r="G7" s="94">
        <v>321952.31</v>
      </c>
      <c r="H7" s="79"/>
      <c r="I7" s="48"/>
      <c r="J7" s="80">
        <f>[1]!s_dq_close(B7,$B$2,1)</f>
        <v>390.2</v>
      </c>
    </row>
    <row r="8" spans="1:10" x14ac:dyDescent="0.25">
      <c r="A8" s="90">
        <v>45488</v>
      </c>
      <c r="B8" s="88" t="s">
        <v>30</v>
      </c>
      <c r="C8" s="88" t="s">
        <v>31</v>
      </c>
      <c r="D8" s="92">
        <v>75</v>
      </c>
      <c r="E8" s="88" t="s">
        <v>16</v>
      </c>
      <c r="F8" s="92">
        <v>10</v>
      </c>
      <c r="G8" s="94">
        <v>1777.7</v>
      </c>
      <c r="H8" s="79"/>
      <c r="I8" s="48"/>
      <c r="J8" s="80">
        <f>[1]!s_dq_close(B8,$B$2,1)</f>
        <v>26.2</v>
      </c>
    </row>
    <row r="9" spans="1:10" x14ac:dyDescent="0.25">
      <c r="A9" s="91">
        <v>45488</v>
      </c>
      <c r="B9" s="89" t="s">
        <v>158</v>
      </c>
      <c r="C9" s="89" t="s">
        <v>243</v>
      </c>
      <c r="D9" s="93">
        <v>198</v>
      </c>
      <c r="E9" s="89" t="s">
        <v>16</v>
      </c>
      <c r="F9" s="93">
        <v>10</v>
      </c>
      <c r="G9" s="95">
        <v>2803.22</v>
      </c>
      <c r="H9" s="79"/>
      <c r="I9" s="48"/>
      <c r="J9" s="80">
        <f>[1]!s_dq_close(B9,$B$2,1)</f>
        <v>15</v>
      </c>
    </row>
    <row r="10" spans="1:10" x14ac:dyDescent="0.25">
      <c r="A10" s="91">
        <v>45488</v>
      </c>
      <c r="B10" s="89" t="s">
        <v>189</v>
      </c>
      <c r="C10" s="89" t="s">
        <v>190</v>
      </c>
      <c r="D10" s="93">
        <v>444</v>
      </c>
      <c r="E10" s="89" t="s">
        <v>16</v>
      </c>
      <c r="F10" s="93">
        <v>10</v>
      </c>
      <c r="G10" s="95">
        <v>19344.72</v>
      </c>
      <c r="H10" s="79"/>
      <c r="I10" s="48"/>
      <c r="J10" s="80">
        <f>[1]!s_dq_close(B10,$B$2,1)</f>
        <v>47.85</v>
      </c>
    </row>
    <row r="11" spans="1:10" x14ac:dyDescent="0.25">
      <c r="A11" s="91">
        <v>45488</v>
      </c>
      <c r="B11" s="89" t="s">
        <v>276</v>
      </c>
      <c r="C11" s="89" t="s">
        <v>277</v>
      </c>
      <c r="D11" s="93">
        <v>75</v>
      </c>
      <c r="E11" s="89" t="s">
        <v>16</v>
      </c>
      <c r="F11" s="93">
        <v>10</v>
      </c>
      <c r="G11" s="95">
        <v>809.73</v>
      </c>
      <c r="H11" s="79"/>
      <c r="I11" s="48"/>
      <c r="J11" s="80">
        <f>[1]!s_dq_close(B11,$B$2,1)</f>
        <v>11.58</v>
      </c>
    </row>
    <row r="12" spans="1:10" x14ac:dyDescent="0.25">
      <c r="A12" s="91">
        <v>45488</v>
      </c>
      <c r="B12" s="89" t="s">
        <v>172</v>
      </c>
      <c r="C12" s="89" t="s">
        <v>173</v>
      </c>
      <c r="D12" s="93">
        <v>2563</v>
      </c>
      <c r="E12" s="89" t="s">
        <v>16</v>
      </c>
      <c r="F12" s="93">
        <v>10</v>
      </c>
      <c r="G12" s="95">
        <v>39048.620000000003</v>
      </c>
      <c r="H12" s="79"/>
      <c r="I12" s="48"/>
      <c r="J12" s="80">
        <f>[1]!s_dq_close(B12,$B$2,1)</f>
        <v>16.46</v>
      </c>
    </row>
    <row r="13" spans="1:10" x14ac:dyDescent="0.25">
      <c r="A13" s="91">
        <v>45488</v>
      </c>
      <c r="B13" s="89" t="s">
        <v>166</v>
      </c>
      <c r="C13" s="89" t="s">
        <v>167</v>
      </c>
      <c r="D13" s="93">
        <v>98</v>
      </c>
      <c r="E13" s="89" t="s">
        <v>16</v>
      </c>
      <c r="F13" s="93">
        <v>10</v>
      </c>
      <c r="G13" s="95">
        <v>941.68</v>
      </c>
      <c r="H13" s="79"/>
      <c r="I13" s="48"/>
      <c r="J13" s="80">
        <f>[1]!s_dq_close(B13,$B$2,1)</f>
        <v>10.38</v>
      </c>
    </row>
    <row r="14" spans="1:10" x14ac:dyDescent="0.25">
      <c r="A14" s="91">
        <v>45488</v>
      </c>
      <c r="B14" s="89" t="s">
        <v>132</v>
      </c>
      <c r="C14" s="89" t="s">
        <v>179</v>
      </c>
      <c r="D14" s="93">
        <v>913</v>
      </c>
      <c r="E14" s="89" t="s">
        <v>16</v>
      </c>
      <c r="F14" s="93">
        <v>10</v>
      </c>
      <c r="G14" s="95">
        <v>96819.76</v>
      </c>
      <c r="H14" s="79"/>
      <c r="I14" s="48"/>
      <c r="J14" s="80">
        <f>[1]!s_dq_close(B14,$B$2,1)</f>
        <v>119.1</v>
      </c>
    </row>
    <row r="15" spans="1:10" x14ac:dyDescent="0.25">
      <c r="A15" s="91">
        <v>45488</v>
      </c>
      <c r="B15" s="89" t="s">
        <v>18</v>
      </c>
      <c r="C15" s="89" t="s">
        <v>19</v>
      </c>
      <c r="D15" s="93">
        <v>140</v>
      </c>
      <c r="E15" s="89" t="s">
        <v>16</v>
      </c>
      <c r="F15" s="93">
        <v>10</v>
      </c>
      <c r="G15" s="95">
        <v>2870.82</v>
      </c>
      <c r="H15" s="79"/>
      <c r="I15" s="48"/>
      <c r="J15" s="80">
        <f>[1]!s_dq_close(B15,$B$2,1)</f>
        <v>22.3</v>
      </c>
    </row>
    <row r="16" spans="1:10" x14ac:dyDescent="0.25">
      <c r="A16" s="91">
        <v>45488</v>
      </c>
      <c r="B16" s="89" t="s">
        <v>181</v>
      </c>
      <c r="C16" s="89" t="s">
        <v>182</v>
      </c>
      <c r="D16" s="93">
        <v>125</v>
      </c>
      <c r="E16" s="89" t="s">
        <v>16</v>
      </c>
      <c r="F16" s="93">
        <v>10</v>
      </c>
      <c r="G16" s="95">
        <v>1493.41</v>
      </c>
      <c r="H16" s="79"/>
      <c r="I16" s="48"/>
      <c r="J16" s="80">
        <f>[1]!s_dq_close(B16,$B$2,1)</f>
        <v>13</v>
      </c>
    </row>
    <row r="17" spans="1:10" x14ac:dyDescent="0.25">
      <c r="A17" s="91">
        <v>45488</v>
      </c>
      <c r="B17" s="89" t="s">
        <v>183</v>
      </c>
      <c r="C17" s="89" t="s">
        <v>184</v>
      </c>
      <c r="D17" s="93">
        <v>187</v>
      </c>
      <c r="E17" s="89" t="s">
        <v>16</v>
      </c>
      <c r="F17" s="93">
        <v>10</v>
      </c>
      <c r="G17" s="95">
        <v>3655.24</v>
      </c>
      <c r="H17" s="79"/>
      <c r="I17" s="48"/>
      <c r="J17" s="80">
        <f>[1]!s_dq_close(B17,$B$2,1)</f>
        <v>21.55</v>
      </c>
    </row>
    <row r="18" spans="1:10" x14ac:dyDescent="0.25">
      <c r="A18" s="91">
        <v>45488</v>
      </c>
      <c r="B18" s="89" t="s">
        <v>253</v>
      </c>
      <c r="C18" s="89" t="s">
        <v>254</v>
      </c>
      <c r="D18" s="93">
        <v>370</v>
      </c>
      <c r="E18" s="89" t="s">
        <v>16</v>
      </c>
      <c r="F18" s="93">
        <v>10</v>
      </c>
      <c r="G18" s="95">
        <v>36093.910000000003</v>
      </c>
      <c r="H18" s="79"/>
      <c r="I18" s="48"/>
      <c r="J18" s="80">
        <f>[1]!s_dq_close(B18,$B$2,1)</f>
        <v>106.7</v>
      </c>
    </row>
    <row r="19" spans="1:10" x14ac:dyDescent="0.25">
      <c r="A19" s="91">
        <v>45488</v>
      </c>
      <c r="B19" s="89" t="s">
        <v>255</v>
      </c>
      <c r="C19" s="89" t="s">
        <v>265</v>
      </c>
      <c r="D19" s="93">
        <v>42</v>
      </c>
      <c r="E19" s="89" t="s">
        <v>16</v>
      </c>
      <c r="F19" s="93">
        <v>10</v>
      </c>
      <c r="G19" s="95">
        <v>5152.12</v>
      </c>
      <c r="H19" s="79"/>
      <c r="I19" s="48"/>
      <c r="J19" s="80">
        <f>[1]!s_dq_close(B19,$B$2,1)</f>
        <v>125.5</v>
      </c>
    </row>
    <row r="20" spans="1:10" x14ac:dyDescent="0.25">
      <c r="A20" s="91">
        <v>45488</v>
      </c>
      <c r="B20" s="89" t="s">
        <v>302</v>
      </c>
      <c r="C20" s="89" t="s">
        <v>303</v>
      </c>
      <c r="D20" s="93">
        <v>56</v>
      </c>
      <c r="E20" s="89" t="s">
        <v>17</v>
      </c>
      <c r="F20" s="93">
        <v>0</v>
      </c>
      <c r="G20" s="95">
        <v>412.27</v>
      </c>
      <c r="H20" s="79"/>
      <c r="I20" s="48"/>
      <c r="J20" s="80">
        <f>[1]!s_dq_close(B20,$B$2,1)</f>
        <v>7.9</v>
      </c>
    </row>
    <row r="21" spans="1:10" x14ac:dyDescent="0.25">
      <c r="A21" s="91">
        <v>45488</v>
      </c>
      <c r="B21" s="89" t="s">
        <v>256</v>
      </c>
      <c r="C21" s="89" t="s">
        <v>257</v>
      </c>
      <c r="D21" s="93">
        <v>414</v>
      </c>
      <c r="E21" s="89" t="s">
        <v>16</v>
      </c>
      <c r="F21" s="93">
        <v>10</v>
      </c>
      <c r="G21" s="95">
        <v>36755.949999999997</v>
      </c>
      <c r="H21" s="79"/>
      <c r="I21" s="48"/>
      <c r="J21" s="80">
        <f>[1]!s_dq_close(B21,$B$2,1)</f>
        <v>93.95</v>
      </c>
    </row>
    <row r="22" spans="1:10" x14ac:dyDescent="0.25">
      <c r="A22" s="91">
        <v>45488</v>
      </c>
      <c r="B22" s="89" t="s">
        <v>304</v>
      </c>
      <c r="C22" s="89" t="s">
        <v>305</v>
      </c>
      <c r="D22" s="93">
        <v>31</v>
      </c>
      <c r="E22" s="89" t="s">
        <v>17</v>
      </c>
      <c r="F22" s="93">
        <v>0</v>
      </c>
      <c r="G22" s="95">
        <v>351.11</v>
      </c>
      <c r="H22" s="79"/>
      <c r="I22" s="48"/>
      <c r="J22" s="80">
        <f>[1]!s_dq_close(B22,$B$2,1)</f>
        <v>12.04</v>
      </c>
    </row>
    <row r="23" spans="1:10" x14ac:dyDescent="0.25">
      <c r="A23" s="91">
        <v>45488</v>
      </c>
      <c r="B23" s="89" t="s">
        <v>258</v>
      </c>
      <c r="C23" s="89" t="s">
        <v>259</v>
      </c>
      <c r="D23" s="93">
        <v>100</v>
      </c>
      <c r="E23" s="89" t="s">
        <v>16</v>
      </c>
      <c r="F23" s="93">
        <v>10</v>
      </c>
      <c r="G23" s="95">
        <v>35860.080000000002</v>
      </c>
      <c r="H23" s="79"/>
      <c r="I23" s="48"/>
      <c r="J23" s="80">
        <f>[1]!s_dq_close(B23,$B$2,1)</f>
        <v>388.4</v>
      </c>
    </row>
    <row r="24" spans="1:10" x14ac:dyDescent="0.25">
      <c r="A24" s="91">
        <v>45488</v>
      </c>
      <c r="B24" s="89" t="s">
        <v>260</v>
      </c>
      <c r="C24" s="89" t="s">
        <v>261</v>
      </c>
      <c r="D24" s="93">
        <v>3100</v>
      </c>
      <c r="E24" s="89" t="s">
        <v>16</v>
      </c>
      <c r="F24" s="93">
        <v>10</v>
      </c>
      <c r="G24" s="95">
        <v>213639.69</v>
      </c>
      <c r="H24" s="79"/>
      <c r="I24" s="48"/>
      <c r="J24" s="80">
        <f>[1]!s_dq_close(B24,$B$2,1)</f>
        <v>76.650000000000006</v>
      </c>
    </row>
    <row r="25" spans="1:10" x14ac:dyDescent="0.25">
      <c r="A25" s="91">
        <v>45488</v>
      </c>
      <c r="B25" s="89" t="s">
        <v>262</v>
      </c>
      <c r="C25" s="89" t="s">
        <v>263</v>
      </c>
      <c r="D25" s="93">
        <v>288</v>
      </c>
      <c r="E25" s="89" t="s">
        <v>16</v>
      </c>
      <c r="F25" s="93">
        <v>10</v>
      </c>
      <c r="G25" s="95">
        <v>37512.239999999998</v>
      </c>
      <c r="H25" s="79"/>
      <c r="I25" s="48"/>
      <c r="J25" s="80">
        <f>[1]!s_dq_close(B25,$B$2,1)</f>
        <v>144.9</v>
      </c>
    </row>
    <row r="26" spans="1:10" x14ac:dyDescent="0.25">
      <c r="A26" s="3">
        <v>45488</v>
      </c>
      <c r="B26" s="5" t="s">
        <v>20</v>
      </c>
      <c r="C26" s="5" t="s">
        <v>21</v>
      </c>
      <c r="D26" s="49">
        <v>11</v>
      </c>
      <c r="E26" s="5" t="s">
        <v>16</v>
      </c>
      <c r="F26" s="49">
        <v>10</v>
      </c>
      <c r="G26" s="20">
        <v>2206.66</v>
      </c>
      <c r="H26" s="79"/>
      <c r="I26" s="48"/>
      <c r="J26" s="80">
        <f>[1]!s_dq_close(B26,$B$2,1)</f>
        <v>27.36</v>
      </c>
    </row>
    <row r="27" spans="1:10" x14ac:dyDescent="0.25">
      <c r="A27" s="3">
        <v>45488</v>
      </c>
      <c r="B27" s="5" t="s">
        <v>174</v>
      </c>
      <c r="C27" s="5" t="s">
        <v>194</v>
      </c>
      <c r="D27" s="49">
        <v>108</v>
      </c>
      <c r="E27" s="5" t="s">
        <v>16</v>
      </c>
      <c r="F27" s="49">
        <v>10</v>
      </c>
      <c r="G27" s="20">
        <v>11803.47</v>
      </c>
      <c r="H27" s="79"/>
      <c r="I27" s="48"/>
      <c r="J27" s="80">
        <f>[1]!s_dq_close(B27,$B$2,1)</f>
        <v>14.75</v>
      </c>
    </row>
    <row r="28" spans="1:10" x14ac:dyDescent="0.25">
      <c r="A28" s="3">
        <v>45488</v>
      </c>
      <c r="B28" s="5" t="s">
        <v>231</v>
      </c>
      <c r="C28" s="5" t="s">
        <v>232</v>
      </c>
      <c r="D28" s="49">
        <v>65</v>
      </c>
      <c r="E28" s="5" t="s">
        <v>16</v>
      </c>
      <c r="F28" s="49">
        <v>10</v>
      </c>
      <c r="G28" s="20">
        <v>8791.82</v>
      </c>
      <c r="H28" s="79"/>
      <c r="I28" s="48"/>
      <c r="J28" s="80">
        <f>[1]!s_dq_close(B28,$B$2,1)</f>
        <v>17.690000000000001</v>
      </c>
    </row>
    <row r="29" spans="1:10" x14ac:dyDescent="0.25">
      <c r="A29" s="3">
        <v>45488</v>
      </c>
      <c r="B29" s="5" t="s">
        <v>29</v>
      </c>
      <c r="C29" s="5" t="s">
        <v>195</v>
      </c>
      <c r="D29" s="49">
        <v>46</v>
      </c>
      <c r="E29" s="5" t="s">
        <v>16</v>
      </c>
      <c r="F29" s="49">
        <v>10</v>
      </c>
      <c r="G29" s="20">
        <v>1338.89</v>
      </c>
      <c r="H29" s="79"/>
      <c r="I29" s="48"/>
      <c r="J29" s="80">
        <f>[1]!s_dq_close(B29,$B$2,1)</f>
        <v>3.79</v>
      </c>
    </row>
    <row r="30" spans="1:10" x14ac:dyDescent="0.25">
      <c r="A30" s="3">
        <v>45488</v>
      </c>
      <c r="B30" s="5" t="s">
        <v>180</v>
      </c>
      <c r="C30" s="5" t="s">
        <v>196</v>
      </c>
      <c r="D30" s="49">
        <v>34</v>
      </c>
      <c r="E30" s="5" t="s">
        <v>16</v>
      </c>
      <c r="F30" s="49">
        <v>10</v>
      </c>
      <c r="G30" s="20">
        <v>715.53</v>
      </c>
      <c r="H30" s="79"/>
      <c r="I30" s="48"/>
      <c r="J30" s="80">
        <f>[1]!s_dq_close(B30,$B$2,1)</f>
        <v>2.88</v>
      </c>
    </row>
    <row r="31" spans="1:10" x14ac:dyDescent="0.25">
      <c r="A31" s="3">
        <v>45488</v>
      </c>
      <c r="B31" s="5" t="s">
        <v>150</v>
      </c>
      <c r="C31" s="5" t="s">
        <v>151</v>
      </c>
      <c r="D31" s="49">
        <v>122</v>
      </c>
      <c r="E31" s="5" t="s">
        <v>16</v>
      </c>
      <c r="F31" s="49">
        <v>10</v>
      </c>
      <c r="G31" s="20">
        <v>121185.56</v>
      </c>
      <c r="H31" s="79"/>
      <c r="I31" s="48"/>
      <c r="J31" s="80">
        <f>[1]!s_dq_close(B31,$B$2,1)</f>
        <v>137.99</v>
      </c>
    </row>
    <row r="32" spans="1:10" x14ac:dyDescent="0.25">
      <c r="A32" s="3">
        <v>45488</v>
      </c>
      <c r="B32" s="5" t="s">
        <v>192</v>
      </c>
      <c r="C32" s="5" t="s">
        <v>284</v>
      </c>
      <c r="D32" s="49">
        <v>23</v>
      </c>
      <c r="E32" s="5" t="s">
        <v>16</v>
      </c>
      <c r="F32" s="49">
        <v>10</v>
      </c>
      <c r="G32" s="20">
        <v>3311.13</v>
      </c>
      <c r="H32" s="79"/>
      <c r="I32" s="48"/>
      <c r="J32" s="80">
        <f>[1]!s_dq_close(B32,$B$2,1)</f>
        <v>19.77</v>
      </c>
    </row>
    <row r="33" spans="1:10" x14ac:dyDescent="0.25">
      <c r="A33" s="3">
        <v>45488</v>
      </c>
      <c r="B33" s="5" t="s">
        <v>22</v>
      </c>
      <c r="C33" s="5" t="s">
        <v>23</v>
      </c>
      <c r="D33" s="49">
        <v>75</v>
      </c>
      <c r="E33" s="5" t="s">
        <v>16</v>
      </c>
      <c r="F33" s="49">
        <v>10</v>
      </c>
      <c r="G33" s="20">
        <v>5714.25</v>
      </c>
      <c r="H33" s="79"/>
      <c r="I33" s="48"/>
      <c r="J33" s="80">
        <f>[1]!s_dq_close(B33,$B$2,1)</f>
        <v>10.15</v>
      </c>
    </row>
    <row r="34" spans="1:10" x14ac:dyDescent="0.25">
      <c r="A34" s="3">
        <v>45488</v>
      </c>
      <c r="B34" s="5" t="s">
        <v>153</v>
      </c>
      <c r="C34" s="5" t="s">
        <v>154</v>
      </c>
      <c r="D34" s="49">
        <v>100</v>
      </c>
      <c r="E34" s="5" t="s">
        <v>16</v>
      </c>
      <c r="F34" s="49">
        <v>10</v>
      </c>
      <c r="G34" s="20">
        <v>10686.58</v>
      </c>
      <c r="H34" s="79"/>
      <c r="I34" s="48"/>
      <c r="J34" s="80">
        <f>[1]!s_dq_close(B34,$B$2,1)</f>
        <v>14.86</v>
      </c>
    </row>
    <row r="35" spans="1:10" x14ac:dyDescent="0.25">
      <c r="A35" s="3">
        <v>45488</v>
      </c>
      <c r="B35" s="5" t="s">
        <v>24</v>
      </c>
      <c r="C35" s="5" t="s">
        <v>25</v>
      </c>
      <c r="D35" s="49">
        <v>56</v>
      </c>
      <c r="E35" s="5" t="s">
        <v>16</v>
      </c>
      <c r="F35" s="49">
        <v>10</v>
      </c>
      <c r="G35" s="20">
        <v>5688.86</v>
      </c>
      <c r="H35" s="79"/>
      <c r="I35" s="48"/>
      <c r="J35" s="80">
        <f>[1]!s_dq_close(B35,$B$2,1)</f>
        <v>13.69</v>
      </c>
    </row>
    <row r="36" spans="1:10" x14ac:dyDescent="0.25">
      <c r="A36" s="3">
        <v>45488</v>
      </c>
      <c r="B36" s="5" t="s">
        <v>26</v>
      </c>
      <c r="C36" s="5" t="s">
        <v>27</v>
      </c>
      <c r="D36" s="49">
        <v>14</v>
      </c>
      <c r="E36" s="5" t="s">
        <v>17</v>
      </c>
      <c r="F36" s="49">
        <v>0</v>
      </c>
      <c r="G36" s="20">
        <v>857.92</v>
      </c>
      <c r="H36" s="79"/>
      <c r="I36" s="48"/>
      <c r="J36" s="80">
        <f>[1]!s_dq_close(B36,$B$2,1)</f>
        <v>8.08</v>
      </c>
    </row>
    <row r="37" spans="1:10" x14ac:dyDescent="0.25">
      <c r="A37" s="3">
        <v>45488</v>
      </c>
      <c r="B37" s="5" t="s">
        <v>193</v>
      </c>
      <c r="C37" s="5" t="s">
        <v>197</v>
      </c>
      <c r="D37" s="49">
        <v>153</v>
      </c>
      <c r="E37" s="5" t="s">
        <v>16</v>
      </c>
      <c r="F37" s="49">
        <v>10</v>
      </c>
      <c r="G37" s="20">
        <v>9092.08</v>
      </c>
      <c r="H37" s="79"/>
      <c r="I37" s="48"/>
      <c r="J37" s="80">
        <f>[1]!s_dq_close(B37,$B$2,1)</f>
        <v>8.11</v>
      </c>
    </row>
    <row r="38" spans="1:10" x14ac:dyDescent="0.25">
      <c r="A38" s="3">
        <v>45488</v>
      </c>
      <c r="B38" s="5" t="s">
        <v>28</v>
      </c>
      <c r="C38" s="5" t="s">
        <v>162</v>
      </c>
      <c r="D38" s="49">
        <v>5</v>
      </c>
      <c r="E38" s="5" t="s">
        <v>16</v>
      </c>
      <c r="F38" s="49">
        <v>10</v>
      </c>
      <c r="G38" s="20">
        <v>1211.3399999999999</v>
      </c>
      <c r="H38" s="79"/>
      <c r="I38" s="48"/>
      <c r="J38" s="80">
        <f>[1]!s_dq_close(B38,$B$2,1)</f>
        <v>34.200000000000003</v>
      </c>
    </row>
    <row r="39" spans="1:10" x14ac:dyDescent="0.25">
      <c r="A39" s="2"/>
      <c r="B39" s="2"/>
      <c r="C39" s="2"/>
      <c r="D39" s="2"/>
      <c r="E39" s="2"/>
      <c r="F39" s="2"/>
      <c r="G39" s="81"/>
      <c r="H39" s="82"/>
      <c r="I39" s="82"/>
    </row>
    <row r="40" spans="1:10" x14ac:dyDescent="0.25">
      <c r="A40" s="2"/>
      <c r="B40" s="2"/>
      <c r="C40" s="2"/>
      <c r="D40" s="2"/>
      <c r="E40" s="2"/>
      <c r="F40" s="2"/>
      <c r="G40" s="2"/>
      <c r="H40" s="83" t="s">
        <v>332</v>
      </c>
      <c r="I40" s="83">
        <f>SUMPRODUCT(D6:D38,J6:J38)</f>
        <v>976025.66999999993</v>
      </c>
    </row>
  </sheetData>
  <phoneticPr fontId="1" type="noConversion"/>
  <conditionalFormatting sqref="E1:E1048576">
    <cfRule type="cellIs" dxfId="29" priority="1" operator="equal">
      <formula>"必须"</formula>
    </cfRule>
    <cfRule type="cellIs" dxfId="28" priority="2" operator="equal">
      <formula>"退补"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8EA3-7FBC-4101-AD4B-8FDF2FD0626F}">
  <dimension ref="A1:J40"/>
  <sheetViews>
    <sheetView workbookViewId="0">
      <selection activeCell="J7" sqref="J7"/>
    </sheetView>
  </sheetViews>
  <sheetFormatPr defaultRowHeight="12.5" x14ac:dyDescent="0.25"/>
  <cols>
    <col min="1" max="2" width="12.6328125" style="2" customWidth="1"/>
    <col min="3" max="3" width="12.26953125" style="2" bestFit="1" customWidth="1"/>
    <col min="4" max="4" width="10.6328125" style="2" customWidth="1"/>
    <col min="5" max="5" width="13.6328125" style="2" customWidth="1"/>
    <col min="6" max="6" width="9.6328125" style="2" customWidth="1"/>
    <col min="7" max="7" width="12.6328125" style="2" customWidth="1"/>
    <col min="8" max="9" width="11.08984375" style="2" bestFit="1" customWidth="1"/>
    <col min="10" max="16384" width="8.7265625" style="2"/>
  </cols>
  <sheetData>
    <row r="1" spans="1:10" ht="13" x14ac:dyDescent="0.25">
      <c r="A1" s="56" t="s">
        <v>0</v>
      </c>
      <c r="B1" s="56" t="s">
        <v>314</v>
      </c>
      <c r="C1" s="56"/>
    </row>
    <row r="2" spans="1:10" ht="13" x14ac:dyDescent="0.25">
      <c r="A2" s="56" t="s">
        <v>229</v>
      </c>
      <c r="B2" s="74" t="s">
        <v>322</v>
      </c>
      <c r="C2" s="75"/>
      <c r="D2" s="76">
        <v>45488</v>
      </c>
      <c r="E2" s="48">
        <v>20240716</v>
      </c>
      <c r="F2" s="76">
        <v>45485</v>
      </c>
      <c r="G2" s="48"/>
    </row>
    <row r="3" spans="1:10" ht="13" x14ac:dyDescent="0.25">
      <c r="A3" s="56" t="s">
        <v>3</v>
      </c>
      <c r="B3" s="74" t="s">
        <v>309</v>
      </c>
      <c r="C3" s="48"/>
      <c r="D3" s="48"/>
      <c r="E3" s="48"/>
      <c r="F3" s="48"/>
      <c r="G3" s="48"/>
    </row>
    <row r="4" spans="1:10" ht="13" x14ac:dyDescent="0.25">
      <c r="A4" s="48" t="s">
        <v>4</v>
      </c>
      <c r="B4" s="74" t="s">
        <v>5</v>
      </c>
      <c r="C4" s="48" t="s">
        <v>6</v>
      </c>
      <c r="D4" s="48" t="s">
        <v>7</v>
      </c>
      <c r="E4" s="48" t="s">
        <v>8</v>
      </c>
      <c r="F4" s="48" t="s">
        <v>9</v>
      </c>
      <c r="G4" s="48" t="s">
        <v>308</v>
      </c>
    </row>
    <row r="5" spans="1:10" ht="23.5" customHeight="1" x14ac:dyDescent="0.25">
      <c r="A5" s="56" t="s">
        <v>2</v>
      </c>
      <c r="B5" s="56" t="s">
        <v>3</v>
      </c>
      <c r="C5" s="56" t="s">
        <v>11</v>
      </c>
      <c r="D5" s="56" t="s">
        <v>12</v>
      </c>
      <c r="E5" s="56" t="s">
        <v>13</v>
      </c>
      <c r="F5" s="77" t="s">
        <v>14</v>
      </c>
      <c r="G5" s="56" t="s">
        <v>15</v>
      </c>
      <c r="J5" s="87" t="s">
        <v>331</v>
      </c>
    </row>
    <row r="6" spans="1:10" ht="13" x14ac:dyDescent="0.25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45489</v>
      </c>
      <c r="B6" s="88" t="s">
        <v>317</v>
      </c>
      <c r="C6" s="88" t="s">
        <v>321</v>
      </c>
      <c r="D6" s="92">
        <v>942</v>
      </c>
      <c r="E6" s="88" t="s">
        <v>320</v>
      </c>
      <c r="F6" s="92">
        <v>10</v>
      </c>
      <c r="G6" s="94">
        <v>2847.97</v>
      </c>
      <c r="J6" s="2">
        <f>[1]!s_dq_close(B6,$B$2,1)</f>
        <v>3.15</v>
      </c>
    </row>
    <row r="7" spans="1:10" ht="13" x14ac:dyDescent="0.25">
      <c r="A7" s="90">
        <v>45489</v>
      </c>
      <c r="B7" s="88" t="s">
        <v>164</v>
      </c>
      <c r="C7" s="88" t="s">
        <v>165</v>
      </c>
      <c r="D7" s="92">
        <v>916</v>
      </c>
      <c r="E7" s="88" t="s">
        <v>16</v>
      </c>
      <c r="F7" s="92">
        <v>10</v>
      </c>
      <c r="G7" s="94">
        <v>332156.09999999998</v>
      </c>
      <c r="J7" s="2">
        <f>[1]!s_dq_close(B7,$B$2,1)</f>
        <v>378</v>
      </c>
    </row>
    <row r="8" spans="1:10" ht="13" x14ac:dyDescent="0.25">
      <c r="A8" s="90">
        <v>45489</v>
      </c>
      <c r="B8" s="88" t="s">
        <v>30</v>
      </c>
      <c r="C8" s="88" t="s">
        <v>31</v>
      </c>
      <c r="D8" s="92">
        <v>75</v>
      </c>
      <c r="E8" s="88" t="s">
        <v>16</v>
      </c>
      <c r="F8" s="92">
        <v>10</v>
      </c>
      <c r="G8" s="94">
        <v>1811.94</v>
      </c>
      <c r="J8" s="2">
        <f>[1]!s_dq_close(B8,$B$2,1)</f>
        <v>26.05</v>
      </c>
    </row>
    <row r="9" spans="1:10" x14ac:dyDescent="0.25">
      <c r="A9" s="91">
        <v>45489</v>
      </c>
      <c r="B9" s="89" t="s">
        <v>158</v>
      </c>
      <c r="C9" s="89" t="s">
        <v>243</v>
      </c>
      <c r="D9" s="93">
        <v>198</v>
      </c>
      <c r="E9" s="89" t="s">
        <v>16</v>
      </c>
      <c r="F9" s="93">
        <v>10</v>
      </c>
      <c r="G9" s="95">
        <v>2785.11</v>
      </c>
      <c r="J9" s="2">
        <f>[1]!s_dq_close(B9,$B$2,1)</f>
        <v>14.96</v>
      </c>
    </row>
    <row r="10" spans="1:10" x14ac:dyDescent="0.25">
      <c r="A10" s="91">
        <v>45489</v>
      </c>
      <c r="B10" s="89" t="s">
        <v>189</v>
      </c>
      <c r="C10" s="89" t="s">
        <v>190</v>
      </c>
      <c r="D10" s="93">
        <v>444</v>
      </c>
      <c r="E10" s="89" t="s">
        <v>16</v>
      </c>
      <c r="F10" s="93">
        <v>10</v>
      </c>
      <c r="G10" s="95">
        <v>19932.54</v>
      </c>
      <c r="J10" s="2">
        <f>[1]!s_dq_close(B10,$B$2,1)</f>
        <v>46.3</v>
      </c>
    </row>
    <row r="11" spans="1:10" x14ac:dyDescent="0.25">
      <c r="A11" s="91">
        <v>45489</v>
      </c>
      <c r="B11" s="89" t="s">
        <v>276</v>
      </c>
      <c r="C11" s="89" t="s">
        <v>277</v>
      </c>
      <c r="D11" s="93">
        <v>75</v>
      </c>
      <c r="E11" s="89" t="s">
        <v>16</v>
      </c>
      <c r="F11" s="93">
        <v>10</v>
      </c>
      <c r="G11" s="95">
        <v>826.16</v>
      </c>
      <c r="J11" s="2">
        <f>[1]!s_dq_close(B11,$B$2,1)</f>
        <v>11.52</v>
      </c>
    </row>
    <row r="12" spans="1:10" x14ac:dyDescent="0.25">
      <c r="A12" s="91">
        <v>45489</v>
      </c>
      <c r="B12" s="89" t="s">
        <v>172</v>
      </c>
      <c r="C12" s="89" t="s">
        <v>173</v>
      </c>
      <c r="D12" s="93">
        <v>2563</v>
      </c>
      <c r="E12" s="89" t="s">
        <v>16</v>
      </c>
      <c r="F12" s="93">
        <v>10</v>
      </c>
      <c r="G12" s="95">
        <v>39422.75</v>
      </c>
      <c r="J12" s="2">
        <f>[1]!s_dq_close(B12,$B$2,1)</f>
        <v>16.34</v>
      </c>
    </row>
    <row r="13" spans="1:10" x14ac:dyDescent="0.25">
      <c r="A13" s="91">
        <v>45489</v>
      </c>
      <c r="B13" s="89" t="s">
        <v>166</v>
      </c>
      <c r="C13" s="89" t="s">
        <v>167</v>
      </c>
      <c r="D13" s="93">
        <v>98</v>
      </c>
      <c r="E13" s="89" t="s">
        <v>16</v>
      </c>
      <c r="F13" s="93">
        <v>10</v>
      </c>
      <c r="G13" s="95">
        <v>966.73</v>
      </c>
      <c r="J13" s="2">
        <f>[1]!s_dq_close(B13,$B$2,1)</f>
        <v>10.4</v>
      </c>
    </row>
    <row r="14" spans="1:10" x14ac:dyDescent="0.25">
      <c r="A14" s="91">
        <v>45489</v>
      </c>
      <c r="B14" s="89" t="s">
        <v>132</v>
      </c>
      <c r="C14" s="89" t="s">
        <v>179</v>
      </c>
      <c r="D14" s="93">
        <v>912</v>
      </c>
      <c r="E14" s="89" t="s">
        <v>16</v>
      </c>
      <c r="F14" s="93">
        <v>10</v>
      </c>
      <c r="G14" s="95">
        <v>101460.82</v>
      </c>
      <c r="J14" s="2">
        <f>[1]!s_dq_close(B14,$B$2,1)</f>
        <v>117.5</v>
      </c>
    </row>
    <row r="15" spans="1:10" x14ac:dyDescent="0.25">
      <c r="A15" s="91">
        <v>45489</v>
      </c>
      <c r="B15" s="89" t="s">
        <v>18</v>
      </c>
      <c r="C15" s="89" t="s">
        <v>19</v>
      </c>
      <c r="D15" s="93">
        <v>140</v>
      </c>
      <c r="E15" s="89" t="s">
        <v>16</v>
      </c>
      <c r="F15" s="93">
        <v>10</v>
      </c>
      <c r="G15" s="95">
        <v>2941.12</v>
      </c>
      <c r="J15" s="2">
        <f>[1]!s_dq_close(B15,$B$2,1)</f>
        <v>22.1</v>
      </c>
    </row>
    <row r="16" spans="1:10" x14ac:dyDescent="0.25">
      <c r="A16" s="91">
        <v>45489</v>
      </c>
      <c r="B16" s="89" t="s">
        <v>181</v>
      </c>
      <c r="C16" s="89" t="s">
        <v>182</v>
      </c>
      <c r="D16" s="93">
        <v>125</v>
      </c>
      <c r="E16" s="89" t="s">
        <v>16</v>
      </c>
      <c r="F16" s="93">
        <v>10</v>
      </c>
      <c r="G16" s="95">
        <v>1536.78</v>
      </c>
      <c r="J16" s="2">
        <f>[1]!s_dq_close(B16,$B$2,1)</f>
        <v>13.02</v>
      </c>
    </row>
    <row r="17" spans="1:10" x14ac:dyDescent="0.25">
      <c r="A17" s="91">
        <v>45489</v>
      </c>
      <c r="B17" s="89" t="s">
        <v>183</v>
      </c>
      <c r="C17" s="89" t="s">
        <v>184</v>
      </c>
      <c r="D17" s="93">
        <v>187</v>
      </c>
      <c r="E17" s="89" t="s">
        <v>16</v>
      </c>
      <c r="F17" s="93">
        <v>10</v>
      </c>
      <c r="G17" s="95">
        <v>3885.79</v>
      </c>
      <c r="J17" s="2">
        <f>[1]!s_dq_close(B17,$B$2,1)</f>
        <v>20.9</v>
      </c>
    </row>
    <row r="18" spans="1:10" x14ac:dyDescent="0.25">
      <c r="A18" s="91">
        <v>45489</v>
      </c>
      <c r="B18" s="89" t="s">
        <v>253</v>
      </c>
      <c r="C18" s="89" t="s">
        <v>254</v>
      </c>
      <c r="D18" s="93">
        <v>370</v>
      </c>
      <c r="E18" s="89" t="s">
        <v>16</v>
      </c>
      <c r="F18" s="93">
        <v>10</v>
      </c>
      <c r="G18" s="95">
        <v>37850.879999999997</v>
      </c>
      <c r="J18" s="2">
        <f>[1]!s_dq_close(B18,$B$2,1)</f>
        <v>104.5</v>
      </c>
    </row>
    <row r="19" spans="1:10" x14ac:dyDescent="0.25">
      <c r="A19" s="91">
        <v>45489</v>
      </c>
      <c r="B19" s="89" t="s">
        <v>255</v>
      </c>
      <c r="C19" s="89" t="s">
        <v>265</v>
      </c>
      <c r="D19" s="93">
        <v>42</v>
      </c>
      <c r="E19" s="89" t="s">
        <v>16</v>
      </c>
      <c r="F19" s="93">
        <v>10</v>
      </c>
      <c r="G19" s="95">
        <v>5236.46</v>
      </c>
      <c r="J19" s="2">
        <f>[1]!s_dq_close(B19,$B$2,1)</f>
        <v>127</v>
      </c>
    </row>
    <row r="20" spans="1:10" x14ac:dyDescent="0.25">
      <c r="A20" s="91">
        <v>45489</v>
      </c>
      <c r="B20" s="89" t="s">
        <v>302</v>
      </c>
      <c r="C20" s="89" t="s">
        <v>303</v>
      </c>
      <c r="D20" s="93">
        <v>56</v>
      </c>
      <c r="E20" s="89" t="s">
        <v>17</v>
      </c>
      <c r="F20" s="93">
        <v>0</v>
      </c>
      <c r="G20" s="95">
        <v>415.85</v>
      </c>
      <c r="J20" s="2">
        <f>[1]!s_dq_close(B20,$B$2,1)</f>
        <v>7.83</v>
      </c>
    </row>
    <row r="21" spans="1:10" x14ac:dyDescent="0.25">
      <c r="A21" s="91">
        <v>45489</v>
      </c>
      <c r="B21" s="89" t="s">
        <v>256</v>
      </c>
      <c r="C21" s="89" t="s">
        <v>257</v>
      </c>
      <c r="D21" s="93">
        <v>414</v>
      </c>
      <c r="E21" s="89" t="s">
        <v>16</v>
      </c>
      <c r="F21" s="93">
        <v>10</v>
      </c>
      <c r="G21" s="95">
        <v>37625.269999999997</v>
      </c>
      <c r="J21" s="2">
        <f>[1]!s_dq_close(B21,$B$2,1)</f>
        <v>91.15</v>
      </c>
    </row>
    <row r="22" spans="1:10" x14ac:dyDescent="0.25">
      <c r="A22" s="91">
        <v>45489</v>
      </c>
      <c r="B22" s="89" t="s">
        <v>304</v>
      </c>
      <c r="C22" s="89" t="s">
        <v>305</v>
      </c>
      <c r="D22" s="93">
        <v>31</v>
      </c>
      <c r="E22" s="89" t="s">
        <v>17</v>
      </c>
      <c r="F22" s="93">
        <v>0</v>
      </c>
      <c r="G22" s="95">
        <v>359.04</v>
      </c>
      <c r="J22" s="2">
        <f>[1]!s_dq_close(B22,$B$2,1)</f>
        <v>11.84</v>
      </c>
    </row>
    <row r="23" spans="1:10" x14ac:dyDescent="0.25">
      <c r="A23" s="91">
        <v>45489</v>
      </c>
      <c r="B23" s="89" t="s">
        <v>258</v>
      </c>
      <c r="C23" s="89" t="s">
        <v>259</v>
      </c>
      <c r="D23" s="93">
        <v>100</v>
      </c>
      <c r="E23" s="89" t="s">
        <v>16</v>
      </c>
      <c r="F23" s="93">
        <v>10</v>
      </c>
      <c r="G23" s="95">
        <v>36133.71</v>
      </c>
      <c r="J23" s="2">
        <f>[1]!s_dq_close(B23,$B$2,1)</f>
        <v>373.8</v>
      </c>
    </row>
    <row r="24" spans="1:10" x14ac:dyDescent="0.25">
      <c r="A24" s="91">
        <v>45489</v>
      </c>
      <c r="B24" s="89" t="s">
        <v>260</v>
      </c>
      <c r="C24" s="89" t="s">
        <v>261</v>
      </c>
      <c r="D24" s="93">
        <v>3100</v>
      </c>
      <c r="E24" s="89" t="s">
        <v>16</v>
      </c>
      <c r="F24" s="93">
        <v>10</v>
      </c>
      <c r="G24" s="95">
        <v>221990.31</v>
      </c>
      <c r="J24" s="2">
        <f>[1]!s_dq_close(B24,$B$2,1)</f>
        <v>75.5</v>
      </c>
    </row>
    <row r="25" spans="1:10" x14ac:dyDescent="0.25">
      <c r="A25" s="91">
        <v>45489</v>
      </c>
      <c r="B25" s="89" t="s">
        <v>262</v>
      </c>
      <c r="C25" s="89" t="s">
        <v>263</v>
      </c>
      <c r="D25" s="93">
        <v>288</v>
      </c>
      <c r="E25" s="89" t="s">
        <v>16</v>
      </c>
      <c r="F25" s="93">
        <v>10</v>
      </c>
      <c r="G25" s="95">
        <v>37880.11</v>
      </c>
      <c r="J25" s="2">
        <f>[1]!s_dq_close(B25,$B$2,1)</f>
        <v>144</v>
      </c>
    </row>
    <row r="26" spans="1:10" x14ac:dyDescent="0.25">
      <c r="A26" s="3">
        <v>45489</v>
      </c>
      <c r="B26" s="5" t="s">
        <v>20</v>
      </c>
      <c r="C26" s="5" t="s">
        <v>21</v>
      </c>
      <c r="D26" s="49">
        <v>11</v>
      </c>
      <c r="E26" s="5" t="s">
        <v>16</v>
      </c>
      <c r="F26" s="49">
        <v>10</v>
      </c>
      <c r="G26" s="20">
        <v>2213.7600000000002</v>
      </c>
      <c r="J26" s="2">
        <f>[1]!s_dq_close(B26,$B$2,1)</f>
        <v>27.98</v>
      </c>
    </row>
    <row r="27" spans="1:10" x14ac:dyDescent="0.25">
      <c r="A27" s="3">
        <v>45489</v>
      </c>
      <c r="B27" s="5" t="s">
        <v>174</v>
      </c>
      <c r="C27" s="5" t="s">
        <v>194</v>
      </c>
      <c r="D27" s="49">
        <v>108</v>
      </c>
      <c r="E27" s="5" t="s">
        <v>16</v>
      </c>
      <c r="F27" s="49">
        <v>10</v>
      </c>
      <c r="G27" s="20">
        <v>12038.26</v>
      </c>
      <c r="J27" s="2">
        <f>[1]!s_dq_close(B27,$B$2,1)</f>
        <v>14.8</v>
      </c>
    </row>
    <row r="28" spans="1:10" x14ac:dyDescent="0.25">
      <c r="A28" s="3">
        <v>45489</v>
      </c>
      <c r="B28" s="5" t="s">
        <v>231</v>
      </c>
      <c r="C28" s="5" t="s">
        <v>232</v>
      </c>
      <c r="D28" s="49">
        <v>65</v>
      </c>
      <c r="E28" s="5" t="s">
        <v>16</v>
      </c>
      <c r="F28" s="49">
        <v>10</v>
      </c>
      <c r="G28" s="20">
        <v>8849.1200000000008</v>
      </c>
      <c r="J28" s="2">
        <f>[1]!s_dq_close(B28,$B$2,1)</f>
        <v>17.21</v>
      </c>
    </row>
    <row r="29" spans="1:10" x14ac:dyDescent="0.25">
      <c r="A29" s="3">
        <v>45489</v>
      </c>
      <c r="B29" s="5" t="s">
        <v>29</v>
      </c>
      <c r="C29" s="5" t="s">
        <v>195</v>
      </c>
      <c r="D29" s="49">
        <v>46</v>
      </c>
      <c r="E29" s="5" t="s">
        <v>16</v>
      </c>
      <c r="F29" s="49">
        <v>10</v>
      </c>
      <c r="G29" s="20">
        <v>1312.2</v>
      </c>
      <c r="J29" s="2">
        <f>[1]!s_dq_close(B29,$B$2,1)</f>
        <v>3.75</v>
      </c>
    </row>
    <row r="30" spans="1:10" x14ac:dyDescent="0.25">
      <c r="A30" s="3">
        <v>45489</v>
      </c>
      <c r="B30" s="5" t="s">
        <v>180</v>
      </c>
      <c r="C30" s="5" t="s">
        <v>196</v>
      </c>
      <c r="D30" s="49">
        <v>34</v>
      </c>
      <c r="E30" s="5" t="s">
        <v>16</v>
      </c>
      <c r="F30" s="49">
        <v>10</v>
      </c>
      <c r="G30" s="20">
        <v>715.29</v>
      </c>
      <c r="J30" s="2">
        <f>[1]!s_dq_close(B30,$B$2,1)</f>
        <v>2.83</v>
      </c>
    </row>
    <row r="31" spans="1:10" x14ac:dyDescent="0.25">
      <c r="A31" s="3">
        <v>45489</v>
      </c>
      <c r="B31" s="5" t="s">
        <v>150</v>
      </c>
      <c r="C31" s="5" t="s">
        <v>151</v>
      </c>
      <c r="D31" s="49">
        <v>122</v>
      </c>
      <c r="E31" s="5" t="s">
        <v>16</v>
      </c>
      <c r="F31" s="49">
        <v>10</v>
      </c>
      <c r="G31" s="20">
        <v>123911.52</v>
      </c>
      <c r="J31" s="2">
        <f>[1]!s_dq_close(B31,$B$2,1)</f>
        <v>135.84</v>
      </c>
    </row>
    <row r="32" spans="1:10" x14ac:dyDescent="0.25">
      <c r="A32" s="3">
        <v>45489</v>
      </c>
      <c r="B32" s="5" t="s">
        <v>192</v>
      </c>
      <c r="C32" s="5" t="s">
        <v>284</v>
      </c>
      <c r="D32" s="49">
        <v>23</v>
      </c>
      <c r="E32" s="5" t="s">
        <v>16</v>
      </c>
      <c r="F32" s="49">
        <v>10</v>
      </c>
      <c r="G32" s="20">
        <v>3354.3</v>
      </c>
      <c r="J32" s="2">
        <f>[1]!s_dq_close(B32,$B$2,1)</f>
        <v>19.86</v>
      </c>
    </row>
    <row r="33" spans="1:10" x14ac:dyDescent="0.25">
      <c r="A33" s="3">
        <v>45489</v>
      </c>
      <c r="B33" s="5" t="s">
        <v>22</v>
      </c>
      <c r="C33" s="5" t="s">
        <v>23</v>
      </c>
      <c r="D33" s="49">
        <v>75</v>
      </c>
      <c r="E33" s="5" t="s">
        <v>16</v>
      </c>
      <c r="F33" s="49">
        <v>10</v>
      </c>
      <c r="G33" s="20">
        <v>5781.86</v>
      </c>
      <c r="J33" s="2">
        <f>[1]!s_dq_close(B33,$B$2,1)</f>
        <v>10</v>
      </c>
    </row>
    <row r="34" spans="1:10" x14ac:dyDescent="0.25">
      <c r="A34" s="3">
        <v>45489</v>
      </c>
      <c r="B34" s="5" t="s">
        <v>153</v>
      </c>
      <c r="C34" s="5" t="s">
        <v>154</v>
      </c>
      <c r="D34" s="49">
        <v>100</v>
      </c>
      <c r="E34" s="5" t="s">
        <v>16</v>
      </c>
      <c r="F34" s="49">
        <v>10</v>
      </c>
      <c r="G34" s="20">
        <v>10789.96</v>
      </c>
      <c r="J34" s="2">
        <f>[1]!s_dq_close(B34,$B$2,1)</f>
        <v>15.13</v>
      </c>
    </row>
    <row r="35" spans="1:10" x14ac:dyDescent="0.25">
      <c r="A35" s="3">
        <v>45489</v>
      </c>
      <c r="B35" s="5" t="s">
        <v>24</v>
      </c>
      <c r="C35" s="5" t="s">
        <v>25</v>
      </c>
      <c r="D35" s="49">
        <v>56</v>
      </c>
      <c r="E35" s="5" t="s">
        <v>16</v>
      </c>
      <c r="F35" s="49">
        <v>10</v>
      </c>
      <c r="G35" s="20">
        <v>5635.03</v>
      </c>
      <c r="J35" s="2">
        <f>[1]!s_dq_close(B35,$B$2,1)</f>
        <v>13.68</v>
      </c>
    </row>
    <row r="36" spans="1:10" x14ac:dyDescent="0.25">
      <c r="A36" s="3">
        <v>45489</v>
      </c>
      <c r="B36" s="5" t="s">
        <v>26</v>
      </c>
      <c r="C36" s="5" t="s">
        <v>27</v>
      </c>
      <c r="D36" s="49">
        <v>14</v>
      </c>
      <c r="E36" s="5" t="s">
        <v>17</v>
      </c>
      <c r="F36" s="49">
        <v>0</v>
      </c>
      <c r="G36" s="20">
        <v>848.65</v>
      </c>
      <c r="J36" s="2">
        <f>[1]!s_dq_close(B36,$B$2,1)</f>
        <v>8.24</v>
      </c>
    </row>
    <row r="37" spans="1:10" x14ac:dyDescent="0.25">
      <c r="A37" s="3">
        <v>45489</v>
      </c>
      <c r="B37" s="5" t="s">
        <v>193</v>
      </c>
      <c r="C37" s="5" t="s">
        <v>197</v>
      </c>
      <c r="D37" s="49">
        <v>153</v>
      </c>
      <c r="E37" s="5" t="s">
        <v>16</v>
      </c>
      <c r="F37" s="49">
        <v>10</v>
      </c>
      <c r="G37" s="20">
        <v>9001.74</v>
      </c>
      <c r="J37" s="2">
        <f>[1]!s_dq_close(B37,$B$2,1)</f>
        <v>8.01</v>
      </c>
    </row>
    <row r="38" spans="1:10" x14ac:dyDescent="0.25">
      <c r="A38" s="3">
        <v>45489</v>
      </c>
      <c r="B38" s="5" t="s">
        <v>28</v>
      </c>
      <c r="C38" s="5" t="s">
        <v>162</v>
      </c>
      <c r="D38" s="49">
        <v>5</v>
      </c>
      <c r="E38" s="5" t="s">
        <v>16</v>
      </c>
      <c r="F38" s="49">
        <v>10</v>
      </c>
      <c r="G38" s="20">
        <v>1236.5999999999999</v>
      </c>
      <c r="J38" s="2">
        <f>[1]!s_dq_close(B38,$B$2,1)</f>
        <v>34.270000000000003</v>
      </c>
    </row>
    <row r="40" spans="1:10" ht="13" x14ac:dyDescent="0.25">
      <c r="H40" s="86" t="s">
        <v>333</v>
      </c>
      <c r="I40" s="2">
        <f>SUMPRODUCT(D6:D38,J6:J38)</f>
        <v>954547.5</v>
      </c>
    </row>
  </sheetData>
  <phoneticPr fontId="1" type="noConversion"/>
  <conditionalFormatting sqref="E6:E38">
    <cfRule type="cellIs" dxfId="27" priority="1" operator="equal">
      <formula>"必须"</formula>
    </cfRule>
    <cfRule type="cellIs" dxfId="26" priority="2" operator="equal">
      <formula>"退补"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05E44-D137-4FE0-8F44-7791EDE5568F}">
  <dimension ref="A1:J40"/>
  <sheetViews>
    <sheetView workbookViewId="0">
      <selection activeCell="J17" sqref="J17"/>
    </sheetView>
  </sheetViews>
  <sheetFormatPr defaultRowHeight="12.5" x14ac:dyDescent="0.25"/>
  <cols>
    <col min="1" max="2" width="12.6328125" style="2" customWidth="1"/>
    <col min="3" max="3" width="12.26953125" style="2" bestFit="1" customWidth="1"/>
    <col min="4" max="4" width="10.6328125" style="2" customWidth="1"/>
    <col min="5" max="5" width="14.6328125" style="2" customWidth="1"/>
    <col min="6" max="6" width="9.6328125" style="2" customWidth="1"/>
    <col min="7" max="7" width="17.6328125" style="2" customWidth="1"/>
    <col min="8" max="16384" width="8.7265625" style="2"/>
  </cols>
  <sheetData>
    <row r="1" spans="1:10" ht="13" x14ac:dyDescent="0.25">
      <c r="A1" s="56" t="s">
        <v>325</v>
      </c>
      <c r="B1" s="56" t="s">
        <v>314</v>
      </c>
      <c r="C1" s="56" t="s">
        <v>328</v>
      </c>
      <c r="D1" s="48" t="s">
        <v>329</v>
      </c>
      <c r="E1" s="48" t="s">
        <v>330</v>
      </c>
      <c r="F1" s="48" t="s">
        <v>326</v>
      </c>
      <c r="G1" s="48" t="s">
        <v>327</v>
      </c>
      <c r="H1" s="2" t="s">
        <v>335</v>
      </c>
    </row>
    <row r="2" spans="1:10" ht="13" x14ac:dyDescent="0.25">
      <c r="A2" s="56" t="s">
        <v>229</v>
      </c>
      <c r="B2" s="74" t="s">
        <v>323</v>
      </c>
      <c r="C2" s="75"/>
      <c r="D2" s="76">
        <v>45488</v>
      </c>
      <c r="E2" s="48">
        <v>20240716</v>
      </c>
      <c r="F2" s="76">
        <v>45485</v>
      </c>
      <c r="G2" s="48"/>
    </row>
    <row r="3" spans="1:10" ht="13" x14ac:dyDescent="0.25">
      <c r="A3" s="56" t="s">
        <v>3</v>
      </c>
      <c r="B3" s="74" t="s">
        <v>309</v>
      </c>
      <c r="C3" s="48"/>
      <c r="D3" s="48"/>
      <c r="E3" s="48"/>
      <c r="F3" s="48"/>
      <c r="G3" s="48"/>
    </row>
    <row r="4" spans="1:10" ht="13" x14ac:dyDescent="0.25">
      <c r="A4" s="48" t="s">
        <v>4</v>
      </c>
      <c r="B4" s="74" t="s">
        <v>5</v>
      </c>
      <c r="C4" s="48" t="s">
        <v>6</v>
      </c>
      <c r="D4" s="48" t="s">
        <v>7</v>
      </c>
      <c r="E4" s="48" t="s">
        <v>8</v>
      </c>
      <c r="F4" s="48" t="s">
        <v>9</v>
      </c>
      <c r="G4" s="48" t="s">
        <v>308</v>
      </c>
    </row>
    <row r="5" spans="1:10" ht="22" customHeight="1" x14ac:dyDescent="0.25">
      <c r="A5" s="56" t="s">
        <v>2</v>
      </c>
      <c r="B5" s="56" t="s">
        <v>3</v>
      </c>
      <c r="C5" s="56" t="s">
        <v>11</v>
      </c>
      <c r="D5" s="56" t="s">
        <v>12</v>
      </c>
      <c r="E5" s="56" t="s">
        <v>13</v>
      </c>
      <c r="F5" s="77" t="s">
        <v>14</v>
      </c>
      <c r="G5" s="56" t="s">
        <v>15</v>
      </c>
      <c r="J5" s="87" t="s">
        <v>331</v>
      </c>
    </row>
    <row r="6" spans="1:10" ht="13" x14ac:dyDescent="0.25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45490</v>
      </c>
      <c r="B6" s="88" t="s">
        <v>317</v>
      </c>
      <c r="C6" s="88" t="s">
        <v>321</v>
      </c>
      <c r="D6" s="92">
        <v>942</v>
      </c>
      <c r="E6" s="88" t="s">
        <v>320</v>
      </c>
      <c r="F6" s="92">
        <v>10</v>
      </c>
      <c r="G6" s="94">
        <v>2778.95</v>
      </c>
      <c r="J6" s="2">
        <f>[1]!s_dq_close(B6,$B$2,1)</f>
        <v>3.42</v>
      </c>
    </row>
    <row r="7" spans="1:10" ht="13" x14ac:dyDescent="0.25">
      <c r="A7" s="90">
        <v>45490</v>
      </c>
      <c r="B7" s="88" t="s">
        <v>164</v>
      </c>
      <c r="C7" s="88" t="s">
        <v>165</v>
      </c>
      <c r="D7" s="92">
        <v>916</v>
      </c>
      <c r="E7" s="88" t="s">
        <v>16</v>
      </c>
      <c r="F7" s="92">
        <v>10</v>
      </c>
      <c r="G7" s="94">
        <v>326445.33</v>
      </c>
      <c r="J7" s="2">
        <f>[1]!s_dq_close(B7,$B$2,1)</f>
        <v>371.8</v>
      </c>
    </row>
    <row r="8" spans="1:10" ht="13" x14ac:dyDescent="0.25">
      <c r="A8" s="90">
        <v>45490</v>
      </c>
      <c r="B8" s="88" t="s">
        <v>30</v>
      </c>
      <c r="C8" s="88" t="s">
        <v>31</v>
      </c>
      <c r="D8" s="92">
        <v>75</v>
      </c>
      <c r="E8" s="88" t="s">
        <v>16</v>
      </c>
      <c r="F8" s="92">
        <v>10</v>
      </c>
      <c r="G8" s="94">
        <v>1794.69</v>
      </c>
      <c r="J8" s="2">
        <f>[1]!s_dq_close(B8,$B$2,1)</f>
        <v>26.25</v>
      </c>
    </row>
    <row r="9" spans="1:10" x14ac:dyDescent="0.25">
      <c r="A9" s="91">
        <v>45490</v>
      </c>
      <c r="B9" s="89" t="s">
        <v>158</v>
      </c>
      <c r="C9" s="89" t="s">
        <v>243</v>
      </c>
      <c r="D9" s="93">
        <v>198</v>
      </c>
      <c r="E9" s="89" t="s">
        <v>16</v>
      </c>
      <c r="F9" s="93">
        <v>10</v>
      </c>
      <c r="G9" s="95">
        <v>2712.59</v>
      </c>
      <c r="J9" s="2">
        <f>[1]!s_dq_close(B9,$B$2,1)</f>
        <v>14.9</v>
      </c>
    </row>
    <row r="10" spans="1:10" x14ac:dyDescent="0.25">
      <c r="A10" s="91">
        <v>45490</v>
      </c>
      <c r="B10" s="89" t="s">
        <v>189</v>
      </c>
      <c r="C10" s="89" t="s">
        <v>190</v>
      </c>
      <c r="D10" s="93">
        <v>444</v>
      </c>
      <c r="E10" s="89" t="s">
        <v>16</v>
      </c>
      <c r="F10" s="93">
        <v>10</v>
      </c>
      <c r="G10" s="95">
        <v>19404.060000000001</v>
      </c>
      <c r="J10" s="2">
        <f>[1]!s_dq_close(B10,$B$2,1)</f>
        <v>46.75</v>
      </c>
    </row>
    <row r="11" spans="1:10" x14ac:dyDescent="0.25">
      <c r="A11" s="91">
        <v>45490</v>
      </c>
      <c r="B11" s="89" t="s">
        <v>276</v>
      </c>
      <c r="C11" s="89" t="s">
        <v>277</v>
      </c>
      <c r="D11" s="93">
        <v>75</v>
      </c>
      <c r="E11" s="89" t="s">
        <v>16</v>
      </c>
      <c r="F11" s="93">
        <v>10</v>
      </c>
      <c r="G11" s="95">
        <v>793.23</v>
      </c>
      <c r="J11" s="2">
        <f>[1]!s_dq_close(B11,$B$2,1)</f>
        <v>11.66</v>
      </c>
    </row>
    <row r="12" spans="1:10" x14ac:dyDescent="0.25">
      <c r="A12" s="91">
        <v>45490</v>
      </c>
      <c r="B12" s="89" t="s">
        <v>172</v>
      </c>
      <c r="C12" s="89" t="s">
        <v>173</v>
      </c>
      <c r="D12" s="93">
        <v>2563</v>
      </c>
      <c r="E12" s="89" t="s">
        <v>16</v>
      </c>
      <c r="F12" s="93">
        <v>10</v>
      </c>
      <c r="G12" s="95">
        <v>38530.629999999997</v>
      </c>
      <c r="J12" s="2">
        <f>[1]!s_dq_close(B12,$B$2,1)</f>
        <v>16.78</v>
      </c>
    </row>
    <row r="13" spans="1:10" x14ac:dyDescent="0.25">
      <c r="A13" s="91">
        <v>45490</v>
      </c>
      <c r="B13" s="89" t="s">
        <v>166</v>
      </c>
      <c r="C13" s="89" t="s">
        <v>167</v>
      </c>
      <c r="D13" s="93">
        <v>98</v>
      </c>
      <c r="E13" s="89" t="s">
        <v>16</v>
      </c>
      <c r="F13" s="93">
        <v>10</v>
      </c>
      <c r="G13" s="95">
        <v>929.08</v>
      </c>
      <c r="J13" s="2">
        <f>[1]!s_dq_close(B13,$B$2,1)</f>
        <v>11.4</v>
      </c>
    </row>
    <row r="14" spans="1:10" x14ac:dyDescent="0.25">
      <c r="A14" s="91">
        <v>45490</v>
      </c>
      <c r="B14" s="89" t="s">
        <v>132</v>
      </c>
      <c r="C14" s="89" t="s">
        <v>179</v>
      </c>
      <c r="D14" s="93">
        <v>912</v>
      </c>
      <c r="E14" s="89" t="s">
        <v>16</v>
      </c>
      <c r="F14" s="93">
        <v>10</v>
      </c>
      <c r="G14" s="95">
        <v>99205.17</v>
      </c>
      <c r="J14" s="2">
        <f>[1]!s_dq_close(B14,$B$2,1)</f>
        <v>119.1</v>
      </c>
    </row>
    <row r="15" spans="1:10" x14ac:dyDescent="0.25">
      <c r="A15" s="91">
        <v>45490</v>
      </c>
      <c r="B15" s="89" t="s">
        <v>18</v>
      </c>
      <c r="C15" s="89" t="s">
        <v>19</v>
      </c>
      <c r="D15" s="93">
        <v>140</v>
      </c>
      <c r="E15" s="89" t="s">
        <v>16</v>
      </c>
      <c r="F15" s="93">
        <v>10</v>
      </c>
      <c r="G15" s="95">
        <v>2851.42</v>
      </c>
      <c r="J15" s="2">
        <f>[1]!s_dq_close(B15,$B$2,1)</f>
        <v>22.35</v>
      </c>
    </row>
    <row r="16" spans="1:10" x14ac:dyDescent="0.25">
      <c r="A16" s="91">
        <v>45490</v>
      </c>
      <c r="B16" s="89" t="s">
        <v>181</v>
      </c>
      <c r="C16" s="89" t="s">
        <v>182</v>
      </c>
      <c r="D16" s="93">
        <v>125</v>
      </c>
      <c r="E16" s="89" t="s">
        <v>16</v>
      </c>
      <c r="F16" s="93">
        <v>10</v>
      </c>
      <c r="G16" s="95">
        <v>1484.16</v>
      </c>
      <c r="J16" s="2">
        <f>[1]!s_dq_close(B16,$B$2,1)</f>
        <v>13.24</v>
      </c>
    </row>
    <row r="17" spans="1:10" x14ac:dyDescent="0.25">
      <c r="A17" s="91">
        <v>45490</v>
      </c>
      <c r="B17" s="89" t="s">
        <v>183</v>
      </c>
      <c r="C17" s="89" t="s">
        <v>184</v>
      </c>
      <c r="D17" s="93">
        <v>187</v>
      </c>
      <c r="E17" s="89" t="s">
        <v>16</v>
      </c>
      <c r="F17" s="93">
        <v>10</v>
      </c>
      <c r="G17" s="95">
        <v>3680.58</v>
      </c>
      <c r="J17" s="2">
        <f>[1]!s_dq_close(B17,$B$2,1)</f>
        <v>21.7</v>
      </c>
    </row>
    <row r="18" spans="1:10" x14ac:dyDescent="0.25">
      <c r="A18" s="91">
        <v>45490</v>
      </c>
      <c r="B18" s="89" t="s">
        <v>253</v>
      </c>
      <c r="C18" s="89" t="s">
        <v>254</v>
      </c>
      <c r="D18" s="93">
        <v>370</v>
      </c>
      <c r="E18" s="89" t="s">
        <v>16</v>
      </c>
      <c r="F18" s="93">
        <v>10</v>
      </c>
      <c r="G18" s="95">
        <v>36057.360000000001</v>
      </c>
      <c r="J18" s="2">
        <f>[1]!s_dq_close(B18,$B$2,1)</f>
        <v>106.7</v>
      </c>
    </row>
    <row r="19" spans="1:10" x14ac:dyDescent="0.25">
      <c r="A19" s="91">
        <v>45490</v>
      </c>
      <c r="B19" s="89" t="s">
        <v>255</v>
      </c>
      <c r="C19" s="89" t="s">
        <v>265</v>
      </c>
      <c r="D19" s="93">
        <v>42</v>
      </c>
      <c r="E19" s="89" t="s">
        <v>16</v>
      </c>
      <c r="F19" s="93">
        <v>10</v>
      </c>
      <c r="G19" s="95">
        <v>4814.16</v>
      </c>
      <c r="J19" s="2">
        <f>[1]!s_dq_close(B19,$B$2,1)</f>
        <v>125.3</v>
      </c>
    </row>
    <row r="20" spans="1:10" x14ac:dyDescent="0.25">
      <c r="A20" s="91">
        <v>45490</v>
      </c>
      <c r="B20" s="89" t="s">
        <v>302</v>
      </c>
      <c r="C20" s="89" t="s">
        <v>303</v>
      </c>
      <c r="D20" s="93">
        <v>56</v>
      </c>
      <c r="E20" s="89" t="s">
        <v>17</v>
      </c>
      <c r="F20" s="93">
        <v>0</v>
      </c>
      <c r="G20" s="95">
        <v>404.06</v>
      </c>
      <c r="J20" s="2">
        <f>[1]!s_dq_close(B20,$B$2,1)</f>
        <v>7.81</v>
      </c>
    </row>
    <row r="21" spans="1:10" x14ac:dyDescent="0.25">
      <c r="A21" s="91">
        <v>45490</v>
      </c>
      <c r="B21" s="89" t="s">
        <v>256</v>
      </c>
      <c r="C21" s="89" t="s">
        <v>257</v>
      </c>
      <c r="D21" s="93">
        <v>414</v>
      </c>
      <c r="E21" s="89" t="s">
        <v>16</v>
      </c>
      <c r="F21" s="93">
        <v>10</v>
      </c>
      <c r="G21" s="95">
        <v>35524.239999999998</v>
      </c>
      <c r="J21" s="2">
        <f>[1]!s_dq_close(B21,$B$2,1)</f>
        <v>91.65</v>
      </c>
    </row>
    <row r="22" spans="1:10" x14ac:dyDescent="0.25">
      <c r="A22" s="91">
        <v>45490</v>
      </c>
      <c r="B22" s="89" t="s">
        <v>304</v>
      </c>
      <c r="C22" s="89" t="s">
        <v>305</v>
      </c>
      <c r="D22" s="93">
        <v>31</v>
      </c>
      <c r="E22" s="89" t="s">
        <v>17</v>
      </c>
      <c r="F22" s="93">
        <v>0</v>
      </c>
      <c r="G22" s="95">
        <v>340.89</v>
      </c>
      <c r="J22" s="2">
        <f>[1]!s_dq_close(B22,$B$2,1)</f>
        <v>12.56</v>
      </c>
    </row>
    <row r="23" spans="1:10" x14ac:dyDescent="0.25">
      <c r="A23" s="91">
        <v>45490</v>
      </c>
      <c r="B23" s="89" t="s">
        <v>258</v>
      </c>
      <c r="C23" s="89" t="s">
        <v>259</v>
      </c>
      <c r="D23" s="93">
        <v>100</v>
      </c>
      <c r="E23" s="89" t="s">
        <v>16</v>
      </c>
      <c r="F23" s="93">
        <v>10</v>
      </c>
      <c r="G23" s="95">
        <v>35473.74</v>
      </c>
      <c r="J23" s="2">
        <f>[1]!s_dq_close(B23,$B$2,1)</f>
        <v>370.8</v>
      </c>
    </row>
    <row r="24" spans="1:10" x14ac:dyDescent="0.25">
      <c r="A24" s="91">
        <v>45490</v>
      </c>
      <c r="B24" s="89" t="s">
        <v>260</v>
      </c>
      <c r="C24" s="89" t="s">
        <v>261</v>
      </c>
      <c r="D24" s="93">
        <v>3100</v>
      </c>
      <c r="E24" s="89" t="s">
        <v>16</v>
      </c>
      <c r="F24" s="93">
        <v>10</v>
      </c>
      <c r="G24" s="95">
        <v>217020.91</v>
      </c>
      <c r="J24" s="2">
        <f>[1]!s_dq_close(B24,$B$2,1)</f>
        <v>76.3</v>
      </c>
    </row>
    <row r="25" spans="1:10" x14ac:dyDescent="0.25">
      <c r="A25" s="91">
        <v>45490</v>
      </c>
      <c r="B25" s="89" t="s">
        <v>262</v>
      </c>
      <c r="C25" s="89" t="s">
        <v>263</v>
      </c>
      <c r="D25" s="93">
        <v>288</v>
      </c>
      <c r="E25" s="89" t="s">
        <v>16</v>
      </c>
      <c r="F25" s="93">
        <v>10</v>
      </c>
      <c r="G25" s="95">
        <v>38114.36</v>
      </c>
      <c r="J25" s="2">
        <f>[1]!s_dq_close(B25,$B$2,1)</f>
        <v>146</v>
      </c>
    </row>
    <row r="26" spans="1:10" x14ac:dyDescent="0.25">
      <c r="A26" s="97">
        <v>45490</v>
      </c>
      <c r="B26" s="96" t="s">
        <v>20</v>
      </c>
      <c r="C26" s="96" t="s">
        <v>21</v>
      </c>
      <c r="D26" s="98">
        <v>11</v>
      </c>
      <c r="E26" s="5" t="s">
        <v>16</v>
      </c>
      <c r="F26" s="98">
        <v>10</v>
      </c>
      <c r="G26" s="99">
        <v>2146.2399999999998</v>
      </c>
      <c r="J26" s="2">
        <f>[1]!s_dq_close(B26,$B$2,1)</f>
        <v>27.8</v>
      </c>
    </row>
    <row r="27" spans="1:10" x14ac:dyDescent="0.25">
      <c r="A27" s="97">
        <v>45490</v>
      </c>
      <c r="B27" s="96" t="s">
        <v>174</v>
      </c>
      <c r="C27" s="96" t="s">
        <v>194</v>
      </c>
      <c r="D27" s="98">
        <v>108</v>
      </c>
      <c r="E27" s="5" t="s">
        <v>16</v>
      </c>
      <c r="F27" s="98">
        <v>10</v>
      </c>
      <c r="G27" s="99">
        <v>11360.16</v>
      </c>
      <c r="J27" s="2">
        <f>[1]!s_dq_close(B27,$B$2,1)</f>
        <v>14.38</v>
      </c>
    </row>
    <row r="28" spans="1:10" x14ac:dyDescent="0.25">
      <c r="A28" s="97">
        <v>45490</v>
      </c>
      <c r="B28" s="96" t="s">
        <v>231</v>
      </c>
      <c r="C28" s="96" t="s">
        <v>232</v>
      </c>
      <c r="D28" s="98">
        <v>65</v>
      </c>
      <c r="E28" s="5" t="s">
        <v>16</v>
      </c>
      <c r="F28" s="98">
        <v>10</v>
      </c>
      <c r="G28" s="99">
        <v>8199.93</v>
      </c>
      <c r="J28" s="2">
        <f>[1]!s_dq_close(B28,$B$2,1)</f>
        <v>16.8</v>
      </c>
    </row>
    <row r="29" spans="1:10" x14ac:dyDescent="0.25">
      <c r="A29" s="97">
        <v>45490</v>
      </c>
      <c r="B29" s="96" t="s">
        <v>29</v>
      </c>
      <c r="C29" s="96" t="s">
        <v>195</v>
      </c>
      <c r="D29" s="98">
        <v>46</v>
      </c>
      <c r="E29" s="5" t="s">
        <v>16</v>
      </c>
      <c r="F29" s="98">
        <v>10</v>
      </c>
      <c r="G29" s="99">
        <v>1243.27</v>
      </c>
      <c r="J29" s="2">
        <f>[1]!s_dq_close(B29,$B$2,1)</f>
        <v>3.66</v>
      </c>
    </row>
    <row r="30" spans="1:10" x14ac:dyDescent="0.25">
      <c r="A30" s="97">
        <v>45490</v>
      </c>
      <c r="B30" s="96" t="s">
        <v>180</v>
      </c>
      <c r="C30" s="96" t="s">
        <v>196</v>
      </c>
      <c r="D30" s="98">
        <v>34</v>
      </c>
      <c r="E30" s="5" t="s">
        <v>16</v>
      </c>
      <c r="F30" s="98">
        <v>10</v>
      </c>
      <c r="G30" s="99">
        <v>698.3</v>
      </c>
      <c r="J30" s="2">
        <f>[1]!s_dq_close(B30,$B$2,1)</f>
        <v>2.71</v>
      </c>
    </row>
    <row r="31" spans="1:10" x14ac:dyDescent="0.25">
      <c r="A31" s="97">
        <v>45490</v>
      </c>
      <c r="B31" s="96" t="s">
        <v>150</v>
      </c>
      <c r="C31" s="96" t="s">
        <v>151</v>
      </c>
      <c r="D31" s="98">
        <v>122</v>
      </c>
      <c r="E31" s="5" t="s">
        <v>16</v>
      </c>
      <c r="F31" s="98">
        <v>10</v>
      </c>
      <c r="G31" s="99">
        <v>120053.87</v>
      </c>
      <c r="J31" s="2">
        <f>[1]!s_dq_close(B31,$B$2,1)</f>
        <v>131.82</v>
      </c>
    </row>
    <row r="32" spans="1:10" x14ac:dyDescent="0.25">
      <c r="A32" s="97">
        <v>45490</v>
      </c>
      <c r="B32" s="96" t="s">
        <v>192</v>
      </c>
      <c r="C32" s="96" t="s">
        <v>284</v>
      </c>
      <c r="D32" s="98">
        <v>23</v>
      </c>
      <c r="E32" s="5" t="s">
        <v>16</v>
      </c>
      <c r="F32" s="98">
        <v>10</v>
      </c>
      <c r="G32" s="99">
        <v>3242.67</v>
      </c>
      <c r="J32" s="2">
        <f>[1]!s_dq_close(B32,$B$2,1)</f>
        <v>19.52</v>
      </c>
    </row>
    <row r="33" spans="1:10" x14ac:dyDescent="0.25">
      <c r="A33" s="97">
        <v>45490</v>
      </c>
      <c r="B33" s="96" t="s">
        <v>22</v>
      </c>
      <c r="C33" s="96" t="s">
        <v>23</v>
      </c>
      <c r="D33" s="98">
        <v>75</v>
      </c>
      <c r="E33" s="5" t="s">
        <v>16</v>
      </c>
      <c r="F33" s="98">
        <v>10</v>
      </c>
      <c r="G33" s="99">
        <v>5428.7</v>
      </c>
      <c r="J33" s="2">
        <f>[1]!s_dq_close(B33,$B$2,1)</f>
        <v>10.029999999999999</v>
      </c>
    </row>
    <row r="34" spans="1:10" x14ac:dyDescent="0.25">
      <c r="A34" s="97">
        <v>45490</v>
      </c>
      <c r="B34" s="96" t="s">
        <v>153</v>
      </c>
      <c r="C34" s="96" t="s">
        <v>154</v>
      </c>
      <c r="D34" s="98">
        <v>100</v>
      </c>
      <c r="E34" s="5" t="s">
        <v>16</v>
      </c>
      <c r="F34" s="98">
        <v>10</v>
      </c>
      <c r="G34" s="99">
        <v>10597.11</v>
      </c>
      <c r="J34" s="2">
        <f>[1]!s_dq_close(B34,$B$2,1)</f>
        <v>14.77</v>
      </c>
    </row>
    <row r="35" spans="1:10" x14ac:dyDescent="0.25">
      <c r="A35" s="97">
        <v>45490</v>
      </c>
      <c r="B35" s="96" t="s">
        <v>24</v>
      </c>
      <c r="C35" s="96" t="s">
        <v>25</v>
      </c>
      <c r="D35" s="98">
        <v>56</v>
      </c>
      <c r="E35" s="5" t="s">
        <v>16</v>
      </c>
      <c r="F35" s="98">
        <v>10</v>
      </c>
      <c r="G35" s="99">
        <v>5467.14</v>
      </c>
      <c r="J35" s="2">
        <f>[1]!s_dq_close(B35,$B$2,1)</f>
        <v>13.76</v>
      </c>
    </row>
    <row r="36" spans="1:10" x14ac:dyDescent="0.25">
      <c r="A36" s="97">
        <v>45490</v>
      </c>
      <c r="B36" s="96" t="s">
        <v>26</v>
      </c>
      <c r="C36" s="96" t="s">
        <v>27</v>
      </c>
      <c r="D36" s="98">
        <v>14</v>
      </c>
      <c r="E36" s="5" t="s">
        <v>17</v>
      </c>
      <c r="F36" s="98">
        <v>0</v>
      </c>
      <c r="G36" s="99">
        <v>806.69</v>
      </c>
      <c r="J36" s="2">
        <f>[1]!s_dq_close(B36,$B$2,1)</f>
        <v>7.94</v>
      </c>
    </row>
    <row r="37" spans="1:10" x14ac:dyDescent="0.25">
      <c r="A37" s="97">
        <v>45490</v>
      </c>
      <c r="B37" s="96" t="s">
        <v>193</v>
      </c>
      <c r="C37" s="96" t="s">
        <v>197</v>
      </c>
      <c r="D37" s="98">
        <v>153</v>
      </c>
      <c r="E37" s="5" t="s">
        <v>16</v>
      </c>
      <c r="F37" s="98">
        <v>10</v>
      </c>
      <c r="G37" s="99">
        <v>8848.73</v>
      </c>
      <c r="J37" s="2">
        <f>[1]!s_dq_close(B37,$B$2,1)</f>
        <v>7.92</v>
      </c>
    </row>
    <row r="38" spans="1:10" x14ac:dyDescent="0.25">
      <c r="A38" s="97">
        <v>45490</v>
      </c>
      <c r="B38" s="96" t="s">
        <v>28</v>
      </c>
      <c r="C38" s="96" t="s">
        <v>162</v>
      </c>
      <c r="D38" s="98">
        <v>5</v>
      </c>
      <c r="E38" s="5" t="s">
        <v>16</v>
      </c>
      <c r="F38" s="98">
        <v>10</v>
      </c>
      <c r="G38" s="99">
        <v>1219.45</v>
      </c>
      <c r="J38" s="2">
        <f>[1]!s_dq_close(B38,$B$2,1)</f>
        <v>33.78</v>
      </c>
    </row>
    <row r="39" spans="1:10" x14ac:dyDescent="0.25">
      <c r="A39" s="85"/>
      <c r="B39" s="85"/>
      <c r="C39" s="85"/>
      <c r="D39" s="85"/>
      <c r="E39" s="85"/>
      <c r="F39" s="85"/>
      <c r="G39" s="85"/>
    </row>
    <row r="40" spans="1:10" ht="13" x14ac:dyDescent="0.25">
      <c r="A40" s="85"/>
      <c r="B40" s="85"/>
      <c r="C40" s="85"/>
      <c r="D40" s="85"/>
      <c r="E40" s="85"/>
      <c r="F40" s="85"/>
      <c r="G40" s="85"/>
      <c r="H40" s="86" t="s">
        <v>333</v>
      </c>
      <c r="I40" s="2">
        <f>SUMPRODUCT(D6:D38,J6:J38)</f>
        <v>955329.7200000002</v>
      </c>
    </row>
  </sheetData>
  <phoneticPr fontId="1" type="noConversion"/>
  <conditionalFormatting sqref="E6:E38">
    <cfRule type="cellIs" dxfId="25" priority="1" operator="equal">
      <formula>"必须"</formula>
    </cfRule>
    <cfRule type="cellIs" dxfId="24" priority="2" operator="equal">
      <formula>"退补"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8898A-04BA-4F09-A38B-CF96FD65CAFE}">
  <dimension ref="A1:L40"/>
  <sheetViews>
    <sheetView tabSelected="1" workbookViewId="0">
      <selection activeCell="N13" sqref="N13"/>
    </sheetView>
  </sheetViews>
  <sheetFormatPr defaultRowHeight="12.5" x14ac:dyDescent="0.25"/>
  <cols>
    <col min="1" max="2" width="12.6328125" style="2" customWidth="1"/>
    <col min="3" max="3" width="12.26953125" style="2" bestFit="1" customWidth="1"/>
    <col min="4" max="4" width="10.6328125" style="2" customWidth="1"/>
    <col min="5" max="5" width="11.6328125" style="2" customWidth="1"/>
    <col min="6" max="6" width="9.6328125" style="2" customWidth="1"/>
    <col min="7" max="7" width="12.6328125" style="2" customWidth="1"/>
    <col min="8" max="8" width="11.08984375" style="2" bestFit="1" customWidth="1"/>
    <col min="9" max="9" width="12.36328125" style="2" customWidth="1"/>
    <col min="10" max="10" width="11" style="2" customWidth="1"/>
    <col min="11" max="11" width="9.54296875" style="2" customWidth="1"/>
    <col min="12" max="16384" width="8.7265625" style="2"/>
  </cols>
  <sheetData>
    <row r="1" spans="1:12" ht="13" x14ac:dyDescent="0.25">
      <c r="A1" s="56" t="s">
        <v>0</v>
      </c>
      <c r="B1" s="56" t="s">
        <v>314</v>
      </c>
      <c r="C1" s="56" t="s">
        <v>336</v>
      </c>
      <c r="D1" s="48" t="s">
        <v>337</v>
      </c>
      <c r="E1" s="48" t="s">
        <v>338</v>
      </c>
      <c r="F1" s="48" t="s">
        <v>326</v>
      </c>
      <c r="G1" s="48" t="s">
        <v>327</v>
      </c>
      <c r="H1" s="48" t="s">
        <v>334</v>
      </c>
      <c r="I1" s="48" t="s">
        <v>339</v>
      </c>
      <c r="J1" s="48" t="s">
        <v>340</v>
      </c>
    </row>
    <row r="2" spans="1:12" ht="13" x14ac:dyDescent="0.25">
      <c r="A2" s="56" t="s">
        <v>229</v>
      </c>
      <c r="B2" s="74" t="s">
        <v>341</v>
      </c>
      <c r="C2" s="75">
        <v>45484</v>
      </c>
      <c r="D2" s="76">
        <v>45488</v>
      </c>
      <c r="E2" s="48">
        <v>20240716</v>
      </c>
      <c r="F2" s="76">
        <v>45485</v>
      </c>
      <c r="G2" s="48"/>
      <c r="H2" s="48"/>
      <c r="I2" s="48"/>
      <c r="J2" s="48"/>
    </row>
    <row r="3" spans="1:12" ht="13" x14ac:dyDescent="0.25">
      <c r="A3" s="56" t="s">
        <v>3</v>
      </c>
      <c r="B3" s="74" t="s">
        <v>309</v>
      </c>
      <c r="C3" s="48"/>
      <c r="D3" s="48"/>
      <c r="E3" s="48"/>
      <c r="F3" s="48"/>
      <c r="G3" s="48"/>
      <c r="H3" s="48"/>
      <c r="I3" s="48"/>
      <c r="J3" s="48"/>
    </row>
    <row r="4" spans="1:12" ht="13" x14ac:dyDescent="0.25">
      <c r="A4" s="48" t="s">
        <v>4</v>
      </c>
      <c r="B4" s="74" t="s">
        <v>5</v>
      </c>
      <c r="C4" s="48" t="s">
        <v>6</v>
      </c>
      <c r="D4" s="48" t="s">
        <v>7</v>
      </c>
      <c r="E4" s="48" t="s">
        <v>8</v>
      </c>
      <c r="F4" s="48" t="s">
        <v>9</v>
      </c>
      <c r="G4" s="48" t="s">
        <v>308</v>
      </c>
      <c r="H4" s="48"/>
      <c r="I4" s="48"/>
      <c r="J4" s="48"/>
    </row>
    <row r="5" spans="1:12" ht="21.5" customHeight="1" x14ac:dyDescent="0.25">
      <c r="A5" s="56" t="s">
        <v>2</v>
      </c>
      <c r="B5" s="56" t="s">
        <v>3</v>
      </c>
      <c r="C5" s="56" t="s">
        <v>11</v>
      </c>
      <c r="D5" s="56" t="s">
        <v>12</v>
      </c>
      <c r="E5" s="56" t="s">
        <v>13</v>
      </c>
      <c r="F5" s="77" t="s">
        <v>14</v>
      </c>
      <c r="G5" s="56" t="s">
        <v>15</v>
      </c>
      <c r="H5" s="78"/>
      <c r="I5" s="48"/>
      <c r="J5" s="48" t="s">
        <v>342</v>
      </c>
      <c r="K5" s="2" t="s">
        <v>343</v>
      </c>
      <c r="L5" s="2" t="s">
        <v>344</v>
      </c>
    </row>
    <row r="6" spans="1:12" ht="13" x14ac:dyDescent="0.25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45485</v>
      </c>
      <c r="B6" s="88" t="s">
        <v>317</v>
      </c>
      <c r="C6" s="88" t="s">
        <v>321</v>
      </c>
      <c r="D6" s="92">
        <v>942</v>
      </c>
      <c r="E6" s="88" t="s">
        <v>320</v>
      </c>
      <c r="F6" s="92">
        <v>10</v>
      </c>
      <c r="G6" s="94">
        <v>2684.2</v>
      </c>
      <c r="H6" s="79"/>
      <c r="I6" s="48"/>
      <c r="J6" s="80">
        <f>[1]!s_dq_close(B6,$B$2,1)</f>
        <v>3.31</v>
      </c>
      <c r="K6" s="2">
        <f>[1]!s_dq_close(B6,$C$2,1)</f>
        <v>3.18</v>
      </c>
      <c r="L6" s="2">
        <f>[1]!s_dq_close(B6,$D$2,1)</f>
        <v>3.23</v>
      </c>
    </row>
    <row r="7" spans="1:12" ht="13" x14ac:dyDescent="0.25">
      <c r="A7" s="90">
        <v>45485</v>
      </c>
      <c r="B7" s="88" t="s">
        <v>164</v>
      </c>
      <c r="C7" s="88" t="s">
        <v>165</v>
      </c>
      <c r="D7" s="92">
        <v>916</v>
      </c>
      <c r="E7" s="88" t="s">
        <v>16</v>
      </c>
      <c r="F7" s="92">
        <v>10</v>
      </c>
      <c r="G7" s="94">
        <v>315890.21000000002</v>
      </c>
      <c r="H7" s="79"/>
      <c r="I7" s="48"/>
      <c r="J7" s="80">
        <f>[1]!s_dq_close(B7,$B$2,1)</f>
        <v>397</v>
      </c>
      <c r="K7" s="2">
        <f>[1]!s_dq_close(B7,$C$2,1)</f>
        <v>384.8</v>
      </c>
      <c r="L7" s="2">
        <f>[1]!s_dq_close(B7,$D$2,1)</f>
        <v>390.2</v>
      </c>
    </row>
    <row r="8" spans="1:12" ht="13" x14ac:dyDescent="0.25">
      <c r="A8" s="90">
        <v>45485</v>
      </c>
      <c r="B8" s="88" t="s">
        <v>30</v>
      </c>
      <c r="C8" s="88" t="s">
        <v>31</v>
      </c>
      <c r="D8" s="92">
        <v>75</v>
      </c>
      <c r="E8" s="88" t="s">
        <v>16</v>
      </c>
      <c r="F8" s="92">
        <v>10</v>
      </c>
      <c r="G8" s="94">
        <v>1712.42</v>
      </c>
      <c r="H8" s="79"/>
      <c r="I8" s="48"/>
      <c r="J8" s="80">
        <f>[1]!s_dq_close(B8,$B$2,1)</f>
        <v>26.45</v>
      </c>
      <c r="K8" s="2">
        <f>[1]!s_dq_close(B8,$C$2,1)</f>
        <v>25.95</v>
      </c>
      <c r="L8" s="2">
        <f>[1]!s_dq_close(B8,$D$2,1)</f>
        <v>26.2</v>
      </c>
    </row>
    <row r="9" spans="1:12" ht="13" x14ac:dyDescent="0.25">
      <c r="A9" s="91">
        <v>45485</v>
      </c>
      <c r="B9" s="89" t="s">
        <v>158</v>
      </c>
      <c r="C9" s="89" t="s">
        <v>243</v>
      </c>
      <c r="D9" s="93">
        <v>198</v>
      </c>
      <c r="E9" s="89" t="s">
        <v>16</v>
      </c>
      <c r="F9" s="93">
        <v>10</v>
      </c>
      <c r="G9" s="95">
        <v>2705.24</v>
      </c>
      <c r="H9" s="79"/>
      <c r="I9" s="48"/>
      <c r="J9" s="80">
        <f>[1]!s_dq_close(B9,$B$2,1)</f>
        <v>15.4</v>
      </c>
      <c r="K9" s="2">
        <f>[1]!s_dq_close(B9,$C$2,1)</f>
        <v>15.5</v>
      </c>
      <c r="L9" s="2">
        <f>[1]!s_dq_close(B9,$D$2,1)</f>
        <v>15</v>
      </c>
    </row>
    <row r="10" spans="1:12" ht="13" x14ac:dyDescent="0.25">
      <c r="A10" s="91">
        <v>45485</v>
      </c>
      <c r="B10" s="89" t="s">
        <v>189</v>
      </c>
      <c r="C10" s="89" t="s">
        <v>190</v>
      </c>
      <c r="D10" s="93">
        <v>444</v>
      </c>
      <c r="E10" s="89" t="s">
        <v>16</v>
      </c>
      <c r="F10" s="93">
        <v>10</v>
      </c>
      <c r="G10" s="95">
        <v>19099.09</v>
      </c>
      <c r="H10" s="79"/>
      <c r="I10" s="48"/>
      <c r="J10" s="80">
        <f>[1]!s_dq_close(B10,$B$2,1)</f>
        <v>49.15</v>
      </c>
      <c r="K10" s="2">
        <f>[1]!s_dq_close(B10,$C$2,1)</f>
        <v>47.7</v>
      </c>
      <c r="L10" s="2">
        <f>[1]!s_dq_close(B10,$D$2,1)</f>
        <v>47.85</v>
      </c>
    </row>
    <row r="11" spans="1:12" ht="13" x14ac:dyDescent="0.25">
      <c r="A11" s="91">
        <v>45485</v>
      </c>
      <c r="B11" s="89" t="s">
        <v>276</v>
      </c>
      <c r="C11" s="89" t="s">
        <v>277</v>
      </c>
      <c r="D11" s="93">
        <v>75</v>
      </c>
      <c r="E11" s="89" t="s">
        <v>16</v>
      </c>
      <c r="F11" s="93">
        <v>10</v>
      </c>
      <c r="G11" s="95">
        <v>795.93</v>
      </c>
      <c r="H11" s="79"/>
      <c r="I11" s="48"/>
      <c r="J11" s="80">
        <f>[1]!s_dq_close(B11,$B$2,1)</f>
        <v>12.06</v>
      </c>
      <c r="K11" s="2">
        <f>[1]!s_dq_close(B11,$C$2,1)</f>
        <v>11.82</v>
      </c>
      <c r="L11" s="2">
        <f>[1]!s_dq_close(B11,$D$2,1)</f>
        <v>11.58</v>
      </c>
    </row>
    <row r="12" spans="1:12" ht="13" x14ac:dyDescent="0.25">
      <c r="A12" s="91">
        <v>45485</v>
      </c>
      <c r="B12" s="89" t="s">
        <v>172</v>
      </c>
      <c r="C12" s="89" t="s">
        <v>173</v>
      </c>
      <c r="D12" s="93">
        <v>2563</v>
      </c>
      <c r="E12" s="89" t="s">
        <v>16</v>
      </c>
      <c r="F12" s="93">
        <v>10</v>
      </c>
      <c r="G12" s="95">
        <v>37733.089999999997</v>
      </c>
      <c r="H12" s="79"/>
      <c r="I12" s="48"/>
      <c r="J12" s="80">
        <f>[1]!s_dq_close(B12,$B$2,1)</f>
        <v>16.84</v>
      </c>
      <c r="K12" s="2">
        <f>[1]!s_dq_close(B12,$C$2,1)</f>
        <v>16.68</v>
      </c>
      <c r="L12" s="2">
        <f>[1]!s_dq_close(B12,$D$2,1)</f>
        <v>16.46</v>
      </c>
    </row>
    <row r="13" spans="1:12" ht="13" x14ac:dyDescent="0.25">
      <c r="A13" s="91">
        <v>45485</v>
      </c>
      <c r="B13" s="89" t="s">
        <v>166</v>
      </c>
      <c r="C13" s="89" t="s">
        <v>167</v>
      </c>
      <c r="D13" s="93">
        <v>98</v>
      </c>
      <c r="E13" s="89" t="s">
        <v>16</v>
      </c>
      <c r="F13" s="93">
        <v>10</v>
      </c>
      <c r="G13" s="95">
        <v>923.66</v>
      </c>
      <c r="H13" s="79"/>
      <c r="I13" s="48"/>
      <c r="J13" s="80">
        <f>[1]!s_dq_close(B13,$B$2,1)</f>
        <v>10.8</v>
      </c>
      <c r="K13" s="2">
        <f>[1]!s_dq_close(B13,$C$2,1)</f>
        <v>10.52</v>
      </c>
      <c r="L13" s="2">
        <f>[1]!s_dq_close(B13,$D$2,1)</f>
        <v>10.38</v>
      </c>
    </row>
    <row r="14" spans="1:12" ht="13" x14ac:dyDescent="0.25">
      <c r="A14" s="91">
        <v>45485</v>
      </c>
      <c r="B14" s="89" t="s">
        <v>132</v>
      </c>
      <c r="C14" s="89" t="s">
        <v>179</v>
      </c>
      <c r="D14" s="93">
        <v>913</v>
      </c>
      <c r="E14" s="89" t="s">
        <v>16</v>
      </c>
      <c r="F14" s="93">
        <v>10</v>
      </c>
      <c r="G14" s="95">
        <v>95807.5</v>
      </c>
      <c r="H14" s="79"/>
      <c r="I14" s="48"/>
      <c r="J14" s="80">
        <f>[1]!s_dq_close(B14,$B$2,1)</f>
        <v>121.8</v>
      </c>
      <c r="K14" s="2">
        <f>[1]!s_dq_close(B14,$C$2,1)</f>
        <v>116.1</v>
      </c>
      <c r="L14" s="2">
        <f>[1]!s_dq_close(B14,$D$2,1)</f>
        <v>119.1</v>
      </c>
    </row>
    <row r="15" spans="1:12" ht="13" x14ac:dyDescent="0.25">
      <c r="A15" s="91">
        <v>45485</v>
      </c>
      <c r="B15" s="89" t="s">
        <v>18</v>
      </c>
      <c r="C15" s="89" t="s">
        <v>19</v>
      </c>
      <c r="D15" s="93">
        <v>140</v>
      </c>
      <c r="E15" s="89" t="s">
        <v>16</v>
      </c>
      <c r="F15" s="93">
        <v>10</v>
      </c>
      <c r="G15" s="95">
        <v>2838.51</v>
      </c>
      <c r="H15" s="79"/>
      <c r="I15" s="48"/>
      <c r="J15" s="80">
        <f>[1]!s_dq_close(B15,$B$2,1)</f>
        <v>23</v>
      </c>
      <c r="K15" s="2">
        <f>[1]!s_dq_close(B15,$C$2,1)</f>
        <v>22.45</v>
      </c>
      <c r="L15" s="2">
        <f>[1]!s_dq_close(B15,$D$2,1)</f>
        <v>22.3</v>
      </c>
    </row>
    <row r="16" spans="1:12" ht="13" x14ac:dyDescent="0.25">
      <c r="A16" s="91">
        <v>45485</v>
      </c>
      <c r="B16" s="89" t="s">
        <v>181</v>
      </c>
      <c r="C16" s="89" t="s">
        <v>182</v>
      </c>
      <c r="D16" s="93">
        <v>125</v>
      </c>
      <c r="E16" s="89" t="s">
        <v>16</v>
      </c>
      <c r="F16" s="93">
        <v>10</v>
      </c>
      <c r="G16" s="95">
        <v>1456.7</v>
      </c>
      <c r="H16" s="79"/>
      <c r="I16" s="48"/>
      <c r="J16" s="80">
        <f>[1]!s_dq_close(B16,$B$2,1)</f>
        <v>13.46</v>
      </c>
      <c r="K16" s="2">
        <f>[1]!s_dq_close(B16,$C$2,1)</f>
        <v>13.08</v>
      </c>
      <c r="L16" s="2">
        <f>[1]!s_dq_close(B16,$D$2,1)</f>
        <v>13</v>
      </c>
    </row>
    <row r="17" spans="1:12" ht="13" x14ac:dyDescent="0.25">
      <c r="A17" s="91">
        <v>45485</v>
      </c>
      <c r="B17" s="89" t="s">
        <v>183</v>
      </c>
      <c r="C17" s="89" t="s">
        <v>184</v>
      </c>
      <c r="D17" s="93">
        <v>187</v>
      </c>
      <c r="E17" s="89" t="s">
        <v>16</v>
      </c>
      <c r="F17" s="93">
        <v>10</v>
      </c>
      <c r="G17" s="95">
        <v>3526.71</v>
      </c>
      <c r="H17" s="79"/>
      <c r="I17" s="48"/>
      <c r="J17" s="80">
        <f>[1]!s_dq_close(B17,$B$2,1)</f>
        <v>22.75</v>
      </c>
      <c r="K17" s="2">
        <f>[1]!s_dq_close(B17,$C$2,1)</f>
        <v>21.4</v>
      </c>
      <c r="L17" s="2">
        <f>[1]!s_dq_close(B17,$D$2,1)</f>
        <v>21.55</v>
      </c>
    </row>
    <row r="18" spans="1:12" ht="13" x14ac:dyDescent="0.25">
      <c r="A18" s="91">
        <v>45485</v>
      </c>
      <c r="B18" s="89" t="s">
        <v>253</v>
      </c>
      <c r="C18" s="89" t="s">
        <v>254</v>
      </c>
      <c r="D18" s="93">
        <v>370</v>
      </c>
      <c r="E18" s="89" t="s">
        <v>16</v>
      </c>
      <c r="F18" s="93">
        <v>10</v>
      </c>
      <c r="G18" s="95">
        <v>35109.61</v>
      </c>
      <c r="H18" s="79"/>
      <c r="I18" s="48"/>
      <c r="J18" s="80">
        <f>[1]!s_dq_close(B18,$B$2,1)</f>
        <v>112</v>
      </c>
      <c r="K18" s="2">
        <f>[1]!s_dq_close(B18,$C$2,1)</f>
        <v>106.8</v>
      </c>
      <c r="L18" s="2">
        <f>[1]!s_dq_close(B18,$D$2,1)</f>
        <v>106.7</v>
      </c>
    </row>
    <row r="19" spans="1:12" ht="13" x14ac:dyDescent="0.25">
      <c r="A19" s="91">
        <v>45485</v>
      </c>
      <c r="B19" s="89" t="s">
        <v>255</v>
      </c>
      <c r="C19" s="89" t="s">
        <v>265</v>
      </c>
      <c r="D19" s="93">
        <v>42</v>
      </c>
      <c r="E19" s="89" t="s">
        <v>16</v>
      </c>
      <c r="F19" s="93">
        <v>10</v>
      </c>
      <c r="G19" s="95">
        <v>5005.74</v>
      </c>
      <c r="H19" s="79"/>
      <c r="I19" s="48"/>
      <c r="J19" s="80">
        <f>[1]!s_dq_close(B19,$B$2,1)</f>
        <v>136.5</v>
      </c>
      <c r="K19" s="2">
        <f>[1]!s_dq_close(B19,$C$2,1)</f>
        <v>134.30000000000001</v>
      </c>
      <c r="L19" s="2">
        <f>[1]!s_dq_close(B19,$D$2,1)</f>
        <v>125.5</v>
      </c>
    </row>
    <row r="20" spans="1:12" ht="13" x14ac:dyDescent="0.25">
      <c r="A20" s="91">
        <v>45485</v>
      </c>
      <c r="B20" s="89" t="s">
        <v>302</v>
      </c>
      <c r="C20" s="89" t="s">
        <v>303</v>
      </c>
      <c r="D20" s="93">
        <v>56</v>
      </c>
      <c r="E20" s="89" t="s">
        <v>17</v>
      </c>
      <c r="F20" s="93">
        <v>0</v>
      </c>
      <c r="G20" s="95">
        <v>408.13</v>
      </c>
      <c r="H20" s="79"/>
      <c r="I20" s="48"/>
      <c r="J20" s="80">
        <f>[1]!s_dq_close(B20,$B$2,1)</f>
        <v>8.1300000000000008</v>
      </c>
      <c r="K20" s="2">
        <f>[1]!s_dq_close(B20,$C$2,1)</f>
        <v>8.06</v>
      </c>
      <c r="L20" s="2">
        <f>[1]!s_dq_close(B20,$D$2,1)</f>
        <v>7.9</v>
      </c>
    </row>
    <row r="21" spans="1:12" ht="13" x14ac:dyDescent="0.25">
      <c r="A21" s="91">
        <v>45485</v>
      </c>
      <c r="B21" s="89" t="s">
        <v>256</v>
      </c>
      <c r="C21" s="89" t="s">
        <v>257</v>
      </c>
      <c r="D21" s="93">
        <v>414</v>
      </c>
      <c r="E21" s="89" t="s">
        <v>16</v>
      </c>
      <c r="F21" s="93">
        <v>10</v>
      </c>
      <c r="G21" s="95">
        <v>35938.6</v>
      </c>
      <c r="H21" s="79"/>
      <c r="I21" s="48"/>
      <c r="J21" s="80">
        <f>[1]!s_dq_close(B21,$B$2,1)</f>
        <v>99.5</v>
      </c>
      <c r="K21" s="2">
        <f>[1]!s_dq_close(B21,$C$2,1)</f>
        <v>97.2</v>
      </c>
      <c r="L21" s="2">
        <f>[1]!s_dq_close(B21,$D$2,1)</f>
        <v>93.95</v>
      </c>
    </row>
    <row r="22" spans="1:12" ht="13" x14ac:dyDescent="0.25">
      <c r="A22" s="91">
        <v>45485</v>
      </c>
      <c r="B22" s="89" t="s">
        <v>304</v>
      </c>
      <c r="C22" s="89" t="s">
        <v>305</v>
      </c>
      <c r="D22" s="93">
        <v>31</v>
      </c>
      <c r="E22" s="89" t="s">
        <v>17</v>
      </c>
      <c r="F22" s="93">
        <v>0</v>
      </c>
      <c r="G22" s="95">
        <v>347.67</v>
      </c>
      <c r="H22" s="79"/>
      <c r="I22" s="48"/>
      <c r="J22" s="80">
        <f>[1]!s_dq_close(B22,$B$2,1)</f>
        <v>12.68</v>
      </c>
      <c r="K22" s="2">
        <f>[1]!s_dq_close(B22,$C$2,1)</f>
        <v>12.4</v>
      </c>
      <c r="L22" s="2">
        <f>[1]!s_dq_close(B22,$D$2,1)</f>
        <v>12.04</v>
      </c>
    </row>
    <row r="23" spans="1:12" ht="13" x14ac:dyDescent="0.25">
      <c r="A23" s="91">
        <v>45485</v>
      </c>
      <c r="B23" s="89" t="s">
        <v>258</v>
      </c>
      <c r="C23" s="89" t="s">
        <v>259</v>
      </c>
      <c r="D23" s="93">
        <v>100</v>
      </c>
      <c r="E23" s="89" t="s">
        <v>16</v>
      </c>
      <c r="F23" s="93">
        <v>10</v>
      </c>
      <c r="G23" s="95">
        <v>35764.44</v>
      </c>
      <c r="H23" s="79"/>
      <c r="I23" s="48"/>
      <c r="J23" s="80">
        <f>[1]!s_dq_close(B23,$B$2,1)</f>
        <v>395.6</v>
      </c>
      <c r="K23" s="2">
        <f>[1]!s_dq_close(B23,$C$2,1)</f>
        <v>392.6</v>
      </c>
      <c r="L23" s="2">
        <f>[1]!s_dq_close(B23,$D$2,1)</f>
        <v>388.4</v>
      </c>
    </row>
    <row r="24" spans="1:12" ht="13" x14ac:dyDescent="0.25">
      <c r="A24" s="91">
        <v>45485</v>
      </c>
      <c r="B24" s="89" t="s">
        <v>260</v>
      </c>
      <c r="C24" s="89" t="s">
        <v>261</v>
      </c>
      <c r="D24" s="93">
        <v>3100</v>
      </c>
      <c r="E24" s="89" t="s">
        <v>16</v>
      </c>
      <c r="F24" s="93">
        <v>10</v>
      </c>
      <c r="G24" s="95">
        <v>206960.65</v>
      </c>
      <c r="H24" s="79"/>
      <c r="I24" s="48"/>
      <c r="J24" s="80">
        <f>[1]!s_dq_close(B24,$B$2,1)</f>
        <v>78.400000000000006</v>
      </c>
      <c r="K24" s="2">
        <f>[1]!s_dq_close(B24,$C$2,1)</f>
        <v>75.45</v>
      </c>
      <c r="L24" s="2">
        <f>[1]!s_dq_close(B24,$D$2,1)</f>
        <v>76.650000000000006</v>
      </c>
    </row>
    <row r="25" spans="1:12" ht="13" x14ac:dyDescent="0.25">
      <c r="A25" s="91">
        <v>45485</v>
      </c>
      <c r="B25" s="89" t="s">
        <v>262</v>
      </c>
      <c r="C25" s="89" t="s">
        <v>263</v>
      </c>
      <c r="D25" s="93">
        <v>288</v>
      </c>
      <c r="E25" s="89" t="s">
        <v>16</v>
      </c>
      <c r="F25" s="93">
        <v>10</v>
      </c>
      <c r="G25" s="95">
        <v>37271</v>
      </c>
      <c r="H25" s="79"/>
      <c r="I25" s="48"/>
      <c r="J25" s="80">
        <f>[1]!s_dq_close(B25,$B$2,1)</f>
        <v>144</v>
      </c>
      <c r="K25" s="2">
        <f>[1]!s_dq_close(B25,$C$2,1)</f>
        <v>142.6</v>
      </c>
      <c r="L25" s="2">
        <f>[1]!s_dq_close(B25,$D$2,1)</f>
        <v>144.9</v>
      </c>
    </row>
    <row r="26" spans="1:12" ht="13" x14ac:dyDescent="0.25">
      <c r="A26" s="3">
        <v>45485</v>
      </c>
      <c r="B26" s="5" t="s">
        <v>20</v>
      </c>
      <c r="C26" s="5" t="s">
        <v>21</v>
      </c>
      <c r="D26" s="49">
        <v>11</v>
      </c>
      <c r="E26" s="5" t="s">
        <v>16</v>
      </c>
      <c r="F26" s="49">
        <v>10</v>
      </c>
      <c r="G26" s="20">
        <v>2166.73</v>
      </c>
      <c r="H26" s="79"/>
      <c r="I26" s="48"/>
      <c r="J26" s="80">
        <f>[1]!s_dq_close(B26,$B$2,1)</f>
        <v>28.22</v>
      </c>
      <c r="K26" s="2">
        <f>[1]!s_dq_close(B26,$C$2,1)</f>
        <v>28.12</v>
      </c>
      <c r="L26" s="2">
        <f>[1]!s_dq_close(B26,$D$2,1)</f>
        <v>27.36</v>
      </c>
    </row>
    <row r="27" spans="1:12" ht="13" x14ac:dyDescent="0.25">
      <c r="A27" s="3">
        <v>45485</v>
      </c>
      <c r="B27" s="5" t="s">
        <v>174</v>
      </c>
      <c r="C27" s="5" t="s">
        <v>194</v>
      </c>
      <c r="D27" s="49">
        <v>108</v>
      </c>
      <c r="E27" s="5" t="s">
        <v>16</v>
      </c>
      <c r="F27" s="49">
        <v>10</v>
      </c>
      <c r="G27" s="20">
        <v>11934.95</v>
      </c>
      <c r="H27" s="79"/>
      <c r="I27" s="48"/>
      <c r="J27" s="80">
        <f>[1]!s_dq_close(B27,$B$2,1)</f>
        <v>15.63</v>
      </c>
      <c r="K27" s="2">
        <f>[1]!s_dq_close(B27,$C$2,1)</f>
        <v>15.32</v>
      </c>
      <c r="L27" s="2">
        <f>[1]!s_dq_close(B27,$D$2,1)</f>
        <v>14.75</v>
      </c>
    </row>
    <row r="28" spans="1:12" ht="13" x14ac:dyDescent="0.25">
      <c r="A28" s="3">
        <v>45485</v>
      </c>
      <c r="B28" s="5" t="s">
        <v>231</v>
      </c>
      <c r="C28" s="5" t="s">
        <v>232</v>
      </c>
      <c r="D28" s="49">
        <v>65</v>
      </c>
      <c r="E28" s="5" t="s">
        <v>16</v>
      </c>
      <c r="F28" s="49">
        <v>10</v>
      </c>
      <c r="G28" s="20">
        <v>8699.44</v>
      </c>
      <c r="H28" s="79"/>
      <c r="I28" s="48"/>
      <c r="J28" s="80">
        <f>[1]!s_dq_close(B28,$B$2,1)</f>
        <v>19.09</v>
      </c>
      <c r="K28" s="2">
        <f>[1]!s_dq_close(B28,$C$2,1)</f>
        <v>18.96</v>
      </c>
      <c r="L28" s="2">
        <f>[1]!s_dq_close(B28,$D$2,1)</f>
        <v>17.690000000000001</v>
      </c>
    </row>
    <row r="29" spans="1:12" ht="13" x14ac:dyDescent="0.25">
      <c r="A29" s="3">
        <v>45485</v>
      </c>
      <c r="B29" s="5" t="s">
        <v>29</v>
      </c>
      <c r="C29" s="5" t="s">
        <v>195</v>
      </c>
      <c r="D29" s="49">
        <v>46</v>
      </c>
      <c r="E29" s="5" t="s">
        <v>16</v>
      </c>
      <c r="F29" s="49">
        <v>10</v>
      </c>
      <c r="G29" s="20">
        <v>1286.44</v>
      </c>
      <c r="H29" s="79"/>
      <c r="I29" s="48"/>
      <c r="J29" s="80">
        <f>[1]!s_dq_close(B29,$B$2,1)</f>
        <v>4</v>
      </c>
      <c r="K29" s="2">
        <f>[1]!s_dq_close(B29,$C$2,1)</f>
        <v>4.08</v>
      </c>
      <c r="L29" s="2">
        <f>[1]!s_dq_close(B29,$D$2,1)</f>
        <v>3.79</v>
      </c>
    </row>
    <row r="30" spans="1:12" ht="13" x14ac:dyDescent="0.25">
      <c r="A30" s="3">
        <v>45485</v>
      </c>
      <c r="B30" s="5" t="s">
        <v>180</v>
      </c>
      <c r="C30" s="5" t="s">
        <v>196</v>
      </c>
      <c r="D30" s="49">
        <v>34</v>
      </c>
      <c r="E30" s="5" t="s">
        <v>16</v>
      </c>
      <c r="F30" s="49">
        <v>10</v>
      </c>
      <c r="G30" s="20">
        <v>696.16</v>
      </c>
      <c r="H30" s="79"/>
      <c r="I30" s="48"/>
      <c r="J30" s="80">
        <f>[1]!s_dq_close(B30,$B$2,1)</f>
        <v>2.95</v>
      </c>
      <c r="K30" s="2">
        <f>[1]!s_dq_close(B30,$C$2,1)</f>
        <v>2.95</v>
      </c>
      <c r="L30" s="2">
        <f>[1]!s_dq_close(B30,$D$2,1)</f>
        <v>2.88</v>
      </c>
    </row>
    <row r="31" spans="1:12" ht="13" x14ac:dyDescent="0.25">
      <c r="A31" s="3">
        <v>45485</v>
      </c>
      <c r="B31" s="5" t="s">
        <v>150</v>
      </c>
      <c r="C31" s="5" t="s">
        <v>151</v>
      </c>
      <c r="D31" s="49">
        <v>122</v>
      </c>
      <c r="E31" s="5" t="s">
        <v>16</v>
      </c>
      <c r="F31" s="49">
        <v>10</v>
      </c>
      <c r="G31" s="20">
        <v>120172.32</v>
      </c>
      <c r="H31" s="79"/>
      <c r="I31" s="48"/>
      <c r="J31" s="80">
        <f>[1]!s_dq_close(B31,$B$2,1)</f>
        <v>142.41999999999999</v>
      </c>
      <c r="K31" s="2">
        <f>[1]!s_dq_close(B31,$C$2,1)</f>
        <v>139.24</v>
      </c>
      <c r="L31" s="2">
        <f>[1]!s_dq_close(B31,$D$2,1)</f>
        <v>137.99</v>
      </c>
    </row>
    <row r="32" spans="1:12" ht="13" x14ac:dyDescent="0.25">
      <c r="A32" s="3">
        <v>45485</v>
      </c>
      <c r="B32" s="5" t="s">
        <v>192</v>
      </c>
      <c r="C32" s="5" t="s">
        <v>284</v>
      </c>
      <c r="D32" s="49">
        <v>23</v>
      </c>
      <c r="E32" s="5" t="s">
        <v>16</v>
      </c>
      <c r="F32" s="49">
        <v>10</v>
      </c>
      <c r="G32" s="20">
        <v>3303.06</v>
      </c>
      <c r="H32" s="79"/>
      <c r="I32" s="48"/>
      <c r="J32" s="80">
        <f>[1]!s_dq_close(B32,$B$2,1)</f>
        <v>20.45</v>
      </c>
      <c r="K32" s="2">
        <f>[1]!s_dq_close(B32,$C$2,1)</f>
        <v>20.18</v>
      </c>
      <c r="L32" s="2">
        <f>[1]!s_dq_close(B32,$D$2,1)</f>
        <v>19.77</v>
      </c>
    </row>
    <row r="33" spans="1:12" ht="13" x14ac:dyDescent="0.25">
      <c r="A33" s="3">
        <v>45485</v>
      </c>
      <c r="B33" s="5" t="s">
        <v>22</v>
      </c>
      <c r="C33" s="5" t="s">
        <v>23</v>
      </c>
      <c r="D33" s="49">
        <v>75</v>
      </c>
      <c r="E33" s="5" t="s">
        <v>16</v>
      </c>
      <c r="F33" s="49">
        <v>10</v>
      </c>
      <c r="G33" s="20">
        <v>5596.78</v>
      </c>
      <c r="H33" s="79"/>
      <c r="I33" s="48"/>
      <c r="J33" s="80">
        <f>[1]!s_dq_close(B33,$B$2,1)</f>
        <v>10.81</v>
      </c>
      <c r="K33" s="2">
        <f>[1]!s_dq_close(B33,$C$2,1)</f>
        <v>10.68</v>
      </c>
      <c r="L33" s="2">
        <f>[1]!s_dq_close(B33,$D$2,1)</f>
        <v>10.15</v>
      </c>
    </row>
    <row r="34" spans="1:12" ht="13" x14ac:dyDescent="0.25">
      <c r="A34" s="3">
        <v>45485</v>
      </c>
      <c r="B34" s="5" t="s">
        <v>153</v>
      </c>
      <c r="C34" s="5" t="s">
        <v>154</v>
      </c>
      <c r="D34" s="49">
        <v>100</v>
      </c>
      <c r="E34" s="5" t="s">
        <v>16</v>
      </c>
      <c r="F34" s="49">
        <v>10</v>
      </c>
      <c r="G34" s="20">
        <v>10744.11</v>
      </c>
      <c r="H34" s="79"/>
      <c r="I34" s="48"/>
      <c r="J34" s="80">
        <f>[1]!s_dq_close(B34,$B$2,1)</f>
        <v>15.13</v>
      </c>
      <c r="K34" s="2">
        <f>[1]!s_dq_close(B34,$C$2,1)</f>
        <v>14.98</v>
      </c>
      <c r="L34" s="2">
        <f>[1]!s_dq_close(B34,$D$2,1)</f>
        <v>14.86</v>
      </c>
    </row>
    <row r="35" spans="1:12" ht="13" x14ac:dyDescent="0.25">
      <c r="A35" s="3">
        <v>45485</v>
      </c>
      <c r="B35" s="5" t="s">
        <v>24</v>
      </c>
      <c r="C35" s="5" t="s">
        <v>25</v>
      </c>
      <c r="D35" s="49">
        <v>56</v>
      </c>
      <c r="E35" s="5" t="s">
        <v>16</v>
      </c>
      <c r="F35" s="49">
        <v>10</v>
      </c>
      <c r="G35" s="20">
        <v>5349.51</v>
      </c>
      <c r="H35" s="79"/>
      <c r="I35" s="48"/>
      <c r="J35" s="80">
        <f>[1]!s_dq_close(B35,$B$2,1)</f>
        <v>14.11</v>
      </c>
      <c r="K35" s="2">
        <f>[1]!s_dq_close(B35,$C$2,1)</f>
        <v>14.24</v>
      </c>
      <c r="L35" s="2">
        <f>[1]!s_dq_close(B35,$D$2,1)</f>
        <v>13.69</v>
      </c>
    </row>
    <row r="36" spans="1:12" ht="13" x14ac:dyDescent="0.25">
      <c r="A36" s="3">
        <v>45485</v>
      </c>
      <c r="B36" s="5" t="s">
        <v>26</v>
      </c>
      <c r="C36" s="5" t="s">
        <v>27</v>
      </c>
      <c r="D36" s="49">
        <v>14</v>
      </c>
      <c r="E36" s="5" t="s">
        <v>17</v>
      </c>
      <c r="F36" s="49">
        <v>0</v>
      </c>
      <c r="G36" s="20">
        <v>829.99</v>
      </c>
      <c r="H36" s="79"/>
      <c r="I36" s="48"/>
      <c r="J36" s="80">
        <f>[1]!s_dq_close(B36,$B$2,1)</f>
        <v>8.5</v>
      </c>
      <c r="K36" s="2">
        <f>[1]!s_dq_close(B36,$C$2,1)</f>
        <v>8.59</v>
      </c>
      <c r="L36" s="2">
        <f>[1]!s_dq_close(B36,$D$2,1)</f>
        <v>8.08</v>
      </c>
    </row>
    <row r="37" spans="1:12" ht="13" x14ac:dyDescent="0.25">
      <c r="A37" s="3">
        <v>45485</v>
      </c>
      <c r="B37" s="5" t="s">
        <v>193</v>
      </c>
      <c r="C37" s="5" t="s">
        <v>197</v>
      </c>
      <c r="D37" s="49">
        <v>153</v>
      </c>
      <c r="E37" s="5" t="s">
        <v>16</v>
      </c>
      <c r="F37" s="49">
        <v>10</v>
      </c>
      <c r="G37" s="20">
        <v>8895.99</v>
      </c>
      <c r="H37" s="79"/>
      <c r="I37" s="48"/>
      <c r="J37" s="80">
        <f>[1]!s_dq_close(B37,$B$2,1)</f>
        <v>8.25</v>
      </c>
      <c r="K37" s="2">
        <f>[1]!s_dq_close(B37,$C$2,1)</f>
        <v>8.33</v>
      </c>
      <c r="L37" s="2">
        <f>[1]!s_dq_close(B37,$D$2,1)</f>
        <v>8.11</v>
      </c>
    </row>
    <row r="38" spans="1:12" ht="13" x14ac:dyDescent="0.25">
      <c r="A38" s="3">
        <v>45485</v>
      </c>
      <c r="B38" s="5" t="s">
        <v>28</v>
      </c>
      <c r="C38" s="5" t="s">
        <v>162</v>
      </c>
      <c r="D38" s="49">
        <v>5</v>
      </c>
      <c r="E38" s="5" t="s">
        <v>16</v>
      </c>
      <c r="F38" s="49">
        <v>10</v>
      </c>
      <c r="G38" s="20">
        <v>1226.73</v>
      </c>
      <c r="H38" s="79"/>
      <c r="I38" s="48"/>
      <c r="J38" s="80">
        <f>[1]!s_dq_close(B38,$B$2,1)</f>
        <v>34.68</v>
      </c>
      <c r="K38" s="2">
        <f>[1]!s_dq_close(B38,$C$2,1)</f>
        <v>33.96</v>
      </c>
      <c r="L38" s="2">
        <f>[1]!s_dq_close(B38,$D$2,1)</f>
        <v>34.200000000000003</v>
      </c>
    </row>
    <row r="39" spans="1:12" ht="13" x14ac:dyDescent="0.25">
      <c r="G39" s="81"/>
      <c r="H39" s="82"/>
      <c r="I39" s="82"/>
      <c r="J39" s="48"/>
    </row>
    <row r="40" spans="1:12" ht="13" x14ac:dyDescent="0.25">
      <c r="H40" s="83" t="s">
        <v>332</v>
      </c>
      <c r="I40" s="83">
        <f>SUMPRODUCT(D6:D38,J6:J38)</f>
        <v>998433.66000000015</v>
      </c>
      <c r="J40" s="48"/>
      <c r="K40" s="2">
        <f>SUMPRODUCT(D6:D38,K6:K38)</f>
        <v>967167.44000000029</v>
      </c>
      <c r="L40" s="2">
        <f>SUMPRODUCT(D6:D38,L6:L38)</f>
        <v>976025.66999999993</v>
      </c>
    </row>
  </sheetData>
  <phoneticPr fontId="1" type="noConversion"/>
  <conditionalFormatting sqref="E1:E40">
    <cfRule type="cellIs" dxfId="13" priority="1" operator="equal">
      <formula>"必须"</formula>
    </cfRule>
    <cfRule type="cellIs" dxfId="12" priority="2" operator="equal">
      <formula>"退补"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BBA64-7BE6-47DB-BCF1-6F9988F473CF}">
  <dimension ref="A1"/>
  <sheetViews>
    <sheetView workbookViewId="0"/>
  </sheetViews>
  <sheetFormatPr defaultRowHeight="12.5" x14ac:dyDescent="0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10"/>
  <sheetViews>
    <sheetView zoomScaleNormal="100" workbookViewId="0">
      <selection activeCell="I19" sqref="I19"/>
    </sheetView>
  </sheetViews>
  <sheetFormatPr defaultRowHeight="12.5" x14ac:dyDescent="0.25"/>
  <cols>
    <col min="1" max="1" width="13.6328125" customWidth="1"/>
    <col min="2" max="2" width="12.6328125" customWidth="1"/>
    <col min="3" max="3" width="44.6328125" customWidth="1"/>
    <col min="4" max="4" width="10.6328125" customWidth="1"/>
    <col min="5" max="5" width="11.6328125" customWidth="1"/>
    <col min="6" max="6" width="15.6328125" customWidth="1"/>
    <col min="7" max="7" width="13.6328125" style="19" customWidth="1"/>
    <col min="8" max="8" width="12.54296875" style="6" customWidth="1"/>
    <col min="9" max="9" width="12.26953125" style="6" customWidth="1"/>
    <col min="10" max="10" width="15.81640625" style="6" customWidth="1"/>
  </cols>
  <sheetData>
    <row r="1" spans="1:11" ht="25" x14ac:dyDescent="0.25">
      <c r="A1" s="59" t="s">
        <v>0</v>
      </c>
      <c r="B1" s="60" t="s">
        <v>1</v>
      </c>
      <c r="C1" s="58"/>
      <c r="D1" s="1"/>
      <c r="E1" s="2"/>
      <c r="F1" s="2"/>
      <c r="G1" s="2"/>
      <c r="I1" s="22"/>
      <c r="J1" s="22"/>
    </row>
    <row r="2" spans="1:11" ht="13" x14ac:dyDescent="0.25">
      <c r="A2" s="57" t="s">
        <v>157</v>
      </c>
      <c r="B2" s="5" t="s">
        <v>315</v>
      </c>
      <c r="C2" s="3"/>
      <c r="E2" s="4"/>
      <c r="F2" s="5" t="s">
        <v>316</v>
      </c>
      <c r="G2" s="3">
        <v>45485</v>
      </c>
      <c r="H2" s="4"/>
      <c r="I2" s="4"/>
      <c r="J2" s="4"/>
      <c r="K2" s="73">
        <v>45488</v>
      </c>
    </row>
    <row r="3" spans="1:11" x14ac:dyDescent="0.25">
      <c r="A3" s="59" t="s">
        <v>3</v>
      </c>
      <c r="B3" s="5" t="s">
        <v>131</v>
      </c>
    </row>
    <row r="4" spans="1:11" x14ac:dyDescent="0.25">
      <c r="A4" t="s">
        <v>4</v>
      </c>
      <c r="B4" s="5" t="s">
        <v>32</v>
      </c>
      <c r="C4" t="s">
        <v>6</v>
      </c>
      <c r="D4" t="s">
        <v>7</v>
      </c>
      <c r="E4" t="s">
        <v>8</v>
      </c>
      <c r="F4" t="s">
        <v>9</v>
      </c>
      <c r="G4" s="19" t="s">
        <v>10</v>
      </c>
    </row>
    <row r="5" spans="1:11" ht="25" x14ac:dyDescent="0.25">
      <c r="A5" s="59" t="s">
        <v>2</v>
      </c>
      <c r="B5" s="59" t="s">
        <v>3</v>
      </c>
      <c r="C5" s="59" t="s">
        <v>11</v>
      </c>
      <c r="D5" s="59" t="s">
        <v>12</v>
      </c>
      <c r="E5" s="61" t="s">
        <v>13</v>
      </c>
      <c r="F5" s="61" t="s">
        <v>14</v>
      </c>
      <c r="G5" s="62" t="s">
        <v>15</v>
      </c>
      <c r="H5" s="63"/>
      <c r="I5" s="63"/>
      <c r="J5" s="63"/>
    </row>
    <row r="6" spans="1:11" x14ac:dyDescent="0.25">
      <c r="A6" s="3">
        <f>[1]!wset("etfconstituent","date="&amp;B2,"windcode="&amp;B3,"field=date,wind_code,sec_name,volume,cash_substitution_mark,cash_substitution_premium_ratio,fixed_substitution_amount","cols=7;rows=102","cols=7;rows=101")</f>
        <v>45489</v>
      </c>
      <c r="B6" s="5" t="s">
        <v>318</v>
      </c>
      <c r="C6" s="5" t="s">
        <v>319</v>
      </c>
      <c r="D6" s="49">
        <v>79</v>
      </c>
      <c r="E6" s="5" t="s">
        <v>320</v>
      </c>
      <c r="F6" s="49">
        <v>10</v>
      </c>
      <c r="G6" s="20">
        <v>129883.58</v>
      </c>
    </row>
    <row r="7" spans="1:11" x14ac:dyDescent="0.25">
      <c r="A7" s="3">
        <v>45489</v>
      </c>
      <c r="B7" s="5" t="s">
        <v>233</v>
      </c>
      <c r="C7" s="5" t="s">
        <v>234</v>
      </c>
      <c r="D7" s="49">
        <v>6</v>
      </c>
      <c r="E7" s="5" t="s">
        <v>16</v>
      </c>
      <c r="F7" s="49">
        <v>10</v>
      </c>
      <c r="G7" s="20">
        <v>6280.57</v>
      </c>
    </row>
    <row r="8" spans="1:11" x14ac:dyDescent="0.25">
      <c r="A8" s="3">
        <v>45489</v>
      </c>
      <c r="B8" s="5" t="s">
        <v>33</v>
      </c>
      <c r="C8" s="5" t="s">
        <v>133</v>
      </c>
      <c r="D8" s="49">
        <v>6</v>
      </c>
      <c r="E8" s="5" t="s">
        <v>16</v>
      </c>
      <c r="F8" s="49">
        <v>10</v>
      </c>
      <c r="G8" s="20">
        <v>23921.19</v>
      </c>
    </row>
    <row r="9" spans="1:11" x14ac:dyDescent="0.25">
      <c r="A9" s="3">
        <v>45489</v>
      </c>
      <c r="B9" s="5" t="s">
        <v>34</v>
      </c>
      <c r="C9" s="5" t="s">
        <v>35</v>
      </c>
      <c r="D9" s="49">
        <v>7</v>
      </c>
      <c r="E9" s="5" t="s">
        <v>16</v>
      </c>
      <c r="F9" s="49">
        <v>10</v>
      </c>
      <c r="G9" s="20">
        <v>11909.03</v>
      </c>
    </row>
    <row r="10" spans="1:11" x14ac:dyDescent="0.25">
      <c r="A10" s="3">
        <v>45489</v>
      </c>
      <c r="B10" s="5" t="s">
        <v>36</v>
      </c>
      <c r="C10" s="5" t="s">
        <v>37</v>
      </c>
      <c r="D10" s="49">
        <v>5</v>
      </c>
      <c r="E10" s="5" t="s">
        <v>16</v>
      </c>
      <c r="F10" s="49">
        <v>10</v>
      </c>
      <c r="G10" s="20">
        <v>8487.2000000000007</v>
      </c>
    </row>
    <row r="11" spans="1:11" x14ac:dyDescent="0.25">
      <c r="A11" s="3">
        <v>45489</v>
      </c>
      <c r="B11" s="5" t="s">
        <v>38</v>
      </c>
      <c r="C11" s="5" t="s">
        <v>39</v>
      </c>
      <c r="D11" s="49">
        <v>3</v>
      </c>
      <c r="E11" s="5" t="s">
        <v>16</v>
      </c>
      <c r="F11" s="49">
        <v>10</v>
      </c>
      <c r="G11" s="20">
        <v>5422.44</v>
      </c>
    </row>
    <row r="12" spans="1:11" x14ac:dyDescent="0.25">
      <c r="A12" s="3">
        <v>45489</v>
      </c>
      <c r="B12" s="5" t="s">
        <v>176</v>
      </c>
      <c r="C12" s="5" t="s">
        <v>122</v>
      </c>
      <c r="D12" s="49">
        <v>7</v>
      </c>
      <c r="E12" s="5" t="s">
        <v>16</v>
      </c>
      <c r="F12" s="49">
        <v>10</v>
      </c>
      <c r="G12" s="20">
        <v>4540.7700000000004</v>
      </c>
    </row>
    <row r="13" spans="1:11" x14ac:dyDescent="0.25">
      <c r="A13" s="3">
        <v>45489</v>
      </c>
      <c r="B13" s="5" t="s">
        <v>40</v>
      </c>
      <c r="C13" s="5" t="s">
        <v>213</v>
      </c>
      <c r="D13" s="49">
        <v>11</v>
      </c>
      <c r="E13" s="5" t="s">
        <v>16</v>
      </c>
      <c r="F13" s="49">
        <v>10</v>
      </c>
      <c r="G13" s="20">
        <v>19093.88</v>
      </c>
    </row>
    <row r="14" spans="1:11" x14ac:dyDescent="0.25">
      <c r="A14" s="3">
        <v>45489</v>
      </c>
      <c r="B14" s="5" t="s">
        <v>123</v>
      </c>
      <c r="C14" s="5" t="s">
        <v>124</v>
      </c>
      <c r="D14" s="49">
        <v>22</v>
      </c>
      <c r="E14" s="5" t="s">
        <v>16</v>
      </c>
      <c r="F14" s="49">
        <v>10</v>
      </c>
      <c r="G14" s="20">
        <v>28493.34</v>
      </c>
    </row>
    <row r="15" spans="1:11" x14ac:dyDescent="0.25">
      <c r="A15" s="3">
        <v>45489</v>
      </c>
      <c r="B15" s="5" t="s">
        <v>41</v>
      </c>
      <c r="C15" s="5" t="s">
        <v>42</v>
      </c>
      <c r="D15" s="49">
        <v>7</v>
      </c>
      <c r="E15" s="5" t="s">
        <v>16</v>
      </c>
      <c r="F15" s="49">
        <v>10</v>
      </c>
      <c r="G15" s="20">
        <v>16515.2</v>
      </c>
    </row>
    <row r="16" spans="1:11" x14ac:dyDescent="0.25">
      <c r="A16" s="3">
        <v>45489</v>
      </c>
      <c r="B16" s="5" t="s">
        <v>43</v>
      </c>
      <c r="C16" s="5" t="s">
        <v>44</v>
      </c>
      <c r="D16" s="49">
        <v>54</v>
      </c>
      <c r="E16" s="5" t="s">
        <v>16</v>
      </c>
      <c r="F16" s="49">
        <v>10</v>
      </c>
      <c r="G16" s="20">
        <v>74898.289999999994</v>
      </c>
    </row>
    <row r="17" spans="1:7" x14ac:dyDescent="0.25">
      <c r="A17" s="3">
        <v>45489</v>
      </c>
      <c r="B17" s="5" t="s">
        <v>125</v>
      </c>
      <c r="C17" s="5" t="s">
        <v>214</v>
      </c>
      <c r="D17" s="49">
        <v>1</v>
      </c>
      <c r="E17" s="5" t="s">
        <v>16</v>
      </c>
      <c r="F17" s="49">
        <v>10</v>
      </c>
      <c r="G17" s="20">
        <v>2348.83</v>
      </c>
    </row>
    <row r="18" spans="1:7" x14ac:dyDescent="0.25">
      <c r="A18" s="3">
        <v>45489</v>
      </c>
      <c r="B18" s="5" t="s">
        <v>286</v>
      </c>
      <c r="C18" s="5" t="s">
        <v>287</v>
      </c>
      <c r="D18" s="49">
        <v>2</v>
      </c>
      <c r="E18" s="5" t="s">
        <v>16</v>
      </c>
      <c r="F18" s="49">
        <v>10</v>
      </c>
      <c r="G18" s="20">
        <v>2584.17</v>
      </c>
    </row>
    <row r="19" spans="1:7" x14ac:dyDescent="0.25">
      <c r="A19" s="3">
        <v>45489</v>
      </c>
      <c r="B19" s="5" t="s">
        <v>45</v>
      </c>
      <c r="C19" s="5" t="s">
        <v>46</v>
      </c>
      <c r="D19" s="49">
        <v>1</v>
      </c>
      <c r="E19" s="5" t="s">
        <v>16</v>
      </c>
      <c r="F19" s="49">
        <v>10</v>
      </c>
      <c r="G19" s="20">
        <v>7739.53</v>
      </c>
    </row>
    <row r="20" spans="1:7" x14ac:dyDescent="0.25">
      <c r="A20" s="3">
        <v>45489</v>
      </c>
      <c r="B20" s="5" t="s">
        <v>47</v>
      </c>
      <c r="C20" s="5" t="s">
        <v>48</v>
      </c>
      <c r="D20" s="49">
        <v>62</v>
      </c>
      <c r="E20" s="5" t="s">
        <v>16</v>
      </c>
      <c r="F20" s="49">
        <v>10</v>
      </c>
      <c r="G20" s="20">
        <v>75195.63</v>
      </c>
    </row>
    <row r="21" spans="1:7" x14ac:dyDescent="0.25">
      <c r="A21" s="3">
        <v>45489</v>
      </c>
      <c r="B21" s="5" t="s">
        <v>250</v>
      </c>
      <c r="C21" s="5" t="s">
        <v>251</v>
      </c>
      <c r="D21" s="49">
        <v>8</v>
      </c>
      <c r="E21" s="5" t="s">
        <v>16</v>
      </c>
      <c r="F21" s="49">
        <v>10</v>
      </c>
      <c r="G21" s="20">
        <v>4520.8</v>
      </c>
    </row>
    <row r="22" spans="1:7" x14ac:dyDescent="0.25">
      <c r="A22" s="3">
        <v>45489</v>
      </c>
      <c r="B22" s="5" t="s">
        <v>49</v>
      </c>
      <c r="C22" s="5" t="s">
        <v>50</v>
      </c>
      <c r="D22" s="49">
        <v>2</v>
      </c>
      <c r="E22" s="5" t="s">
        <v>16</v>
      </c>
      <c r="F22" s="49">
        <v>10</v>
      </c>
      <c r="G22" s="20">
        <v>3281.35</v>
      </c>
    </row>
    <row r="23" spans="1:7" x14ac:dyDescent="0.25">
      <c r="A23" s="3">
        <v>45489</v>
      </c>
      <c r="B23" s="5" t="s">
        <v>51</v>
      </c>
      <c r="C23" s="5" t="s">
        <v>52</v>
      </c>
      <c r="D23" s="49">
        <v>0</v>
      </c>
      <c r="E23" s="5" t="s">
        <v>17</v>
      </c>
      <c r="F23" s="49">
        <v>0</v>
      </c>
      <c r="G23" s="20">
        <v>0</v>
      </c>
    </row>
    <row r="24" spans="1:7" x14ac:dyDescent="0.25">
      <c r="A24" s="3">
        <v>45489</v>
      </c>
      <c r="B24" s="5" t="s">
        <v>266</v>
      </c>
      <c r="C24" s="5" t="s">
        <v>267</v>
      </c>
      <c r="D24" s="49">
        <v>13</v>
      </c>
      <c r="E24" s="5" t="s">
        <v>16</v>
      </c>
      <c r="F24" s="49">
        <v>10</v>
      </c>
      <c r="G24" s="20">
        <v>3198.48</v>
      </c>
    </row>
    <row r="25" spans="1:7" x14ac:dyDescent="0.25">
      <c r="A25" s="3">
        <v>45489</v>
      </c>
      <c r="B25" s="5" t="s">
        <v>288</v>
      </c>
      <c r="C25" s="5" t="s">
        <v>289</v>
      </c>
      <c r="D25" s="49">
        <v>6</v>
      </c>
      <c r="E25" s="5" t="s">
        <v>16</v>
      </c>
      <c r="F25" s="49">
        <v>10</v>
      </c>
      <c r="G25" s="20">
        <v>3170.66</v>
      </c>
    </row>
    <row r="26" spans="1:7" x14ac:dyDescent="0.25">
      <c r="A26" s="3">
        <v>45489</v>
      </c>
      <c r="B26" s="5" t="s">
        <v>53</v>
      </c>
      <c r="C26" s="5" t="s">
        <v>215</v>
      </c>
      <c r="D26" s="49">
        <v>4</v>
      </c>
      <c r="E26" s="5" t="s">
        <v>16</v>
      </c>
      <c r="F26" s="49">
        <v>10</v>
      </c>
      <c r="G26" s="20">
        <v>9004.7999999999993</v>
      </c>
    </row>
    <row r="27" spans="1:7" x14ac:dyDescent="0.25">
      <c r="A27" s="3">
        <v>45489</v>
      </c>
      <c r="B27" s="5" t="s">
        <v>290</v>
      </c>
      <c r="C27" s="5" t="s">
        <v>291</v>
      </c>
      <c r="D27" s="49">
        <v>2</v>
      </c>
      <c r="E27" s="5" t="s">
        <v>16</v>
      </c>
      <c r="F27" s="49">
        <v>10</v>
      </c>
      <c r="G27" s="20">
        <v>3259.1</v>
      </c>
    </row>
    <row r="28" spans="1:7" x14ac:dyDescent="0.25">
      <c r="A28" s="3">
        <v>45489</v>
      </c>
      <c r="B28" s="5" t="s">
        <v>248</v>
      </c>
      <c r="C28" s="5" t="s">
        <v>249</v>
      </c>
      <c r="D28" s="49">
        <v>4</v>
      </c>
      <c r="E28" s="5" t="s">
        <v>16</v>
      </c>
      <c r="F28" s="49">
        <v>10</v>
      </c>
      <c r="G28" s="20">
        <v>6194.14</v>
      </c>
    </row>
    <row r="29" spans="1:7" x14ac:dyDescent="0.25">
      <c r="A29" s="3">
        <v>45489</v>
      </c>
      <c r="B29" s="5" t="s">
        <v>54</v>
      </c>
      <c r="C29" s="5" t="s">
        <v>216</v>
      </c>
      <c r="D29" s="49">
        <v>2</v>
      </c>
      <c r="E29" s="5" t="s">
        <v>16</v>
      </c>
      <c r="F29" s="49">
        <v>10</v>
      </c>
      <c r="G29" s="20">
        <v>4436.3599999999997</v>
      </c>
    </row>
    <row r="30" spans="1:7" x14ac:dyDescent="0.25">
      <c r="A30" s="3">
        <v>45489</v>
      </c>
      <c r="B30" s="5" t="s">
        <v>55</v>
      </c>
      <c r="C30" s="5" t="s">
        <v>56</v>
      </c>
      <c r="D30" s="49">
        <v>52</v>
      </c>
      <c r="E30" s="5" t="s">
        <v>16</v>
      </c>
      <c r="F30" s="49">
        <v>10</v>
      </c>
      <c r="G30" s="20">
        <v>14199.39</v>
      </c>
    </row>
    <row r="31" spans="1:7" x14ac:dyDescent="0.25">
      <c r="A31" s="3">
        <v>45489</v>
      </c>
      <c r="B31" s="5" t="s">
        <v>57</v>
      </c>
      <c r="C31" s="5" t="s">
        <v>198</v>
      </c>
      <c r="D31" s="49">
        <v>6</v>
      </c>
      <c r="E31" s="5" t="s">
        <v>16</v>
      </c>
      <c r="F31" s="49">
        <v>10</v>
      </c>
      <c r="G31" s="20">
        <v>36066.85</v>
      </c>
    </row>
    <row r="32" spans="1:7" x14ac:dyDescent="0.25">
      <c r="A32" s="3">
        <v>45489</v>
      </c>
      <c r="B32" s="5" t="s">
        <v>126</v>
      </c>
      <c r="C32" s="5" t="s">
        <v>217</v>
      </c>
      <c r="D32" s="49">
        <v>13</v>
      </c>
      <c r="E32" s="5" t="s">
        <v>16</v>
      </c>
      <c r="F32" s="49">
        <v>10</v>
      </c>
      <c r="G32" s="20">
        <v>5149.09</v>
      </c>
    </row>
    <row r="33" spans="1:7" x14ac:dyDescent="0.25">
      <c r="A33" s="3">
        <v>45489</v>
      </c>
      <c r="B33" s="5" t="s">
        <v>211</v>
      </c>
      <c r="C33" s="5" t="s">
        <v>212</v>
      </c>
      <c r="D33" s="49">
        <v>3</v>
      </c>
      <c r="E33" s="5" t="s">
        <v>16</v>
      </c>
      <c r="F33" s="49">
        <v>10</v>
      </c>
      <c r="G33" s="20">
        <v>7944.21</v>
      </c>
    </row>
    <row r="34" spans="1:7" x14ac:dyDescent="0.25">
      <c r="A34" s="3">
        <v>45489</v>
      </c>
      <c r="B34" s="5" t="s">
        <v>58</v>
      </c>
      <c r="C34" s="5" t="s">
        <v>199</v>
      </c>
      <c r="D34" s="49">
        <v>54</v>
      </c>
      <c r="E34" s="5" t="s">
        <v>16</v>
      </c>
      <c r="F34" s="49">
        <v>10</v>
      </c>
      <c r="G34" s="20">
        <v>18246.09</v>
      </c>
    </row>
    <row r="35" spans="1:7" x14ac:dyDescent="0.25">
      <c r="A35" s="3">
        <v>45489</v>
      </c>
      <c r="B35" s="5" t="s">
        <v>268</v>
      </c>
      <c r="C35" s="5" t="s">
        <v>269</v>
      </c>
      <c r="D35" s="49">
        <v>5</v>
      </c>
      <c r="E35" s="5" t="s">
        <v>16</v>
      </c>
      <c r="F35" s="49">
        <v>10</v>
      </c>
      <c r="G35" s="20">
        <v>2702.48</v>
      </c>
    </row>
    <row r="36" spans="1:7" x14ac:dyDescent="0.25">
      <c r="A36" s="3">
        <v>45489</v>
      </c>
      <c r="B36" s="5" t="s">
        <v>59</v>
      </c>
      <c r="C36" s="5" t="s">
        <v>60</v>
      </c>
      <c r="D36" s="49">
        <v>26</v>
      </c>
      <c r="E36" s="5" t="s">
        <v>16</v>
      </c>
      <c r="F36" s="49">
        <v>10</v>
      </c>
      <c r="G36" s="20">
        <v>6265.31</v>
      </c>
    </row>
    <row r="37" spans="1:7" x14ac:dyDescent="0.25">
      <c r="A37" s="3">
        <v>45489</v>
      </c>
      <c r="B37" s="5" t="s">
        <v>61</v>
      </c>
      <c r="C37" s="5" t="s">
        <v>62</v>
      </c>
      <c r="D37" s="49">
        <v>1</v>
      </c>
      <c r="E37" s="5" t="s">
        <v>16</v>
      </c>
      <c r="F37" s="49">
        <v>10</v>
      </c>
      <c r="G37" s="20">
        <v>5147.2299999999996</v>
      </c>
    </row>
    <row r="38" spans="1:7" x14ac:dyDescent="0.25">
      <c r="A38" s="3">
        <v>45489</v>
      </c>
      <c r="B38" s="5" t="s">
        <v>63</v>
      </c>
      <c r="C38" s="5" t="s">
        <v>218</v>
      </c>
      <c r="D38" s="49">
        <v>7</v>
      </c>
      <c r="E38" s="5" t="s">
        <v>16</v>
      </c>
      <c r="F38" s="49">
        <v>10</v>
      </c>
      <c r="G38" s="20">
        <v>3570.81</v>
      </c>
    </row>
    <row r="39" spans="1:7" x14ac:dyDescent="0.25">
      <c r="A39" s="3">
        <v>45489</v>
      </c>
      <c r="B39" s="5" t="s">
        <v>292</v>
      </c>
      <c r="C39" s="5" t="s">
        <v>293</v>
      </c>
      <c r="D39" s="49">
        <v>5</v>
      </c>
      <c r="E39" s="5" t="s">
        <v>16</v>
      </c>
      <c r="F39" s="49">
        <v>10</v>
      </c>
      <c r="G39" s="20">
        <v>3744.04</v>
      </c>
    </row>
    <row r="40" spans="1:7" x14ac:dyDescent="0.25">
      <c r="A40" s="3">
        <v>45489</v>
      </c>
      <c r="B40" s="5" t="s">
        <v>235</v>
      </c>
      <c r="C40" s="5" t="s">
        <v>236</v>
      </c>
      <c r="D40" s="49">
        <v>4</v>
      </c>
      <c r="E40" s="5" t="s">
        <v>16</v>
      </c>
      <c r="F40" s="49">
        <v>10</v>
      </c>
      <c r="G40" s="20">
        <v>3645.62</v>
      </c>
    </row>
    <row r="41" spans="1:7" x14ac:dyDescent="0.25">
      <c r="A41" s="3">
        <v>45489</v>
      </c>
      <c r="B41" s="5" t="s">
        <v>64</v>
      </c>
      <c r="C41" s="5" t="s">
        <v>65</v>
      </c>
      <c r="D41" s="49">
        <v>3</v>
      </c>
      <c r="E41" s="5" t="s">
        <v>16</v>
      </c>
      <c r="F41" s="49">
        <v>10</v>
      </c>
      <c r="G41" s="20">
        <v>2296.91</v>
      </c>
    </row>
    <row r="42" spans="1:7" x14ac:dyDescent="0.25">
      <c r="A42" s="3">
        <v>45489</v>
      </c>
      <c r="B42" s="5" t="s">
        <v>163</v>
      </c>
      <c r="C42" s="5" t="s">
        <v>219</v>
      </c>
      <c r="D42" s="49">
        <v>5</v>
      </c>
      <c r="E42" s="5" t="s">
        <v>16</v>
      </c>
      <c r="F42" s="49">
        <v>10</v>
      </c>
      <c r="G42" s="20">
        <v>4067.09</v>
      </c>
    </row>
    <row r="43" spans="1:7" x14ac:dyDescent="0.25">
      <c r="A43" s="3">
        <v>45489</v>
      </c>
      <c r="B43" s="5" t="s">
        <v>66</v>
      </c>
      <c r="C43" s="5" t="s">
        <v>220</v>
      </c>
      <c r="D43" s="49">
        <v>4</v>
      </c>
      <c r="E43" s="5" t="s">
        <v>16</v>
      </c>
      <c r="F43" s="49">
        <v>10</v>
      </c>
      <c r="G43" s="20">
        <v>4155.67</v>
      </c>
    </row>
    <row r="44" spans="1:7" x14ac:dyDescent="0.25">
      <c r="A44" s="3">
        <v>45489</v>
      </c>
      <c r="B44" s="5" t="s">
        <v>159</v>
      </c>
      <c r="C44" s="5" t="s">
        <v>127</v>
      </c>
      <c r="D44" s="49">
        <v>13</v>
      </c>
      <c r="E44" s="5" t="s">
        <v>16</v>
      </c>
      <c r="F44" s="49">
        <v>10</v>
      </c>
      <c r="G44" s="20">
        <v>3267.08</v>
      </c>
    </row>
    <row r="45" spans="1:7" x14ac:dyDescent="0.25">
      <c r="A45" s="3">
        <v>45489</v>
      </c>
      <c r="B45" s="5" t="s">
        <v>270</v>
      </c>
      <c r="C45" s="5" t="s">
        <v>271</v>
      </c>
      <c r="D45" s="49">
        <v>2</v>
      </c>
      <c r="E45" s="5" t="s">
        <v>16</v>
      </c>
      <c r="F45" s="49">
        <v>10</v>
      </c>
      <c r="G45" s="20">
        <v>2912.08</v>
      </c>
    </row>
    <row r="46" spans="1:7" x14ac:dyDescent="0.25">
      <c r="A46" s="3">
        <v>45489</v>
      </c>
      <c r="B46" s="5" t="s">
        <v>67</v>
      </c>
      <c r="C46" s="5" t="s">
        <v>68</v>
      </c>
      <c r="D46" s="49">
        <v>8</v>
      </c>
      <c r="E46" s="5" t="s">
        <v>16</v>
      </c>
      <c r="F46" s="49">
        <v>10</v>
      </c>
      <c r="G46" s="20">
        <v>3733.48</v>
      </c>
    </row>
    <row r="47" spans="1:7" x14ac:dyDescent="0.25">
      <c r="A47" s="3">
        <v>45489</v>
      </c>
      <c r="B47" s="5" t="s">
        <v>237</v>
      </c>
      <c r="C47" s="5" t="s">
        <v>238</v>
      </c>
      <c r="D47" s="49">
        <v>10</v>
      </c>
      <c r="E47" s="5" t="s">
        <v>16</v>
      </c>
      <c r="F47" s="49">
        <v>10</v>
      </c>
      <c r="G47" s="20">
        <v>4246.8100000000004</v>
      </c>
    </row>
    <row r="48" spans="1:7" x14ac:dyDescent="0.25">
      <c r="A48" s="3">
        <v>45489</v>
      </c>
      <c r="B48" s="5" t="s">
        <v>275</v>
      </c>
      <c r="C48" s="5" t="s">
        <v>285</v>
      </c>
      <c r="D48" s="49">
        <v>6</v>
      </c>
      <c r="E48" s="5" t="s">
        <v>16</v>
      </c>
      <c r="F48" s="49">
        <v>10</v>
      </c>
      <c r="G48" s="20">
        <v>3435.1</v>
      </c>
    </row>
    <row r="49" spans="1:7" x14ac:dyDescent="0.25">
      <c r="A49" s="3">
        <v>45489</v>
      </c>
      <c r="B49" s="5" t="s">
        <v>272</v>
      </c>
      <c r="C49" s="5" t="s">
        <v>282</v>
      </c>
      <c r="D49" s="49">
        <v>7</v>
      </c>
      <c r="E49" s="5" t="s">
        <v>16</v>
      </c>
      <c r="F49" s="49">
        <v>10</v>
      </c>
      <c r="G49" s="20">
        <v>2719.67</v>
      </c>
    </row>
    <row r="50" spans="1:7" x14ac:dyDescent="0.25">
      <c r="A50" s="3">
        <v>45489</v>
      </c>
      <c r="B50" s="5" t="s">
        <v>69</v>
      </c>
      <c r="C50" s="5" t="s">
        <v>221</v>
      </c>
      <c r="D50" s="49">
        <v>17</v>
      </c>
      <c r="E50" s="5" t="s">
        <v>16</v>
      </c>
      <c r="F50" s="49">
        <v>10</v>
      </c>
      <c r="G50" s="20">
        <v>8481.64</v>
      </c>
    </row>
    <row r="51" spans="1:7" x14ac:dyDescent="0.25">
      <c r="A51" s="3">
        <v>45489</v>
      </c>
      <c r="B51" s="5" t="s">
        <v>70</v>
      </c>
      <c r="C51" s="5" t="s">
        <v>135</v>
      </c>
      <c r="D51" s="49">
        <v>29</v>
      </c>
      <c r="E51" s="5" t="s">
        <v>16</v>
      </c>
      <c r="F51" s="49">
        <v>10</v>
      </c>
      <c r="G51" s="20">
        <v>38628.629999999997</v>
      </c>
    </row>
    <row r="52" spans="1:7" x14ac:dyDescent="0.25">
      <c r="A52" s="3">
        <v>45489</v>
      </c>
      <c r="B52" s="5" t="s">
        <v>71</v>
      </c>
      <c r="C52" s="5" t="s">
        <v>136</v>
      </c>
      <c r="D52" s="49">
        <v>30</v>
      </c>
      <c r="E52" s="5" t="s">
        <v>16</v>
      </c>
      <c r="F52" s="49">
        <v>10</v>
      </c>
      <c r="G52" s="20">
        <v>39594.800000000003</v>
      </c>
    </row>
    <row r="53" spans="1:7" x14ac:dyDescent="0.25">
      <c r="A53" s="3">
        <v>45489</v>
      </c>
      <c r="B53" s="5" t="s">
        <v>244</v>
      </c>
      <c r="C53" s="5" t="s">
        <v>245</v>
      </c>
      <c r="D53" s="49">
        <v>9</v>
      </c>
      <c r="E53" s="5" t="s">
        <v>16</v>
      </c>
      <c r="F53" s="49">
        <v>10</v>
      </c>
      <c r="G53" s="20">
        <v>13806.51</v>
      </c>
    </row>
    <row r="54" spans="1:7" x14ac:dyDescent="0.25">
      <c r="A54" s="3">
        <v>45489</v>
      </c>
      <c r="B54" s="5" t="s">
        <v>72</v>
      </c>
      <c r="C54" s="5" t="s">
        <v>73</v>
      </c>
      <c r="D54" s="49">
        <v>1</v>
      </c>
      <c r="E54" s="5" t="s">
        <v>16</v>
      </c>
      <c r="F54" s="49">
        <v>10</v>
      </c>
      <c r="G54" s="20">
        <v>3513.98</v>
      </c>
    </row>
    <row r="55" spans="1:7" x14ac:dyDescent="0.25">
      <c r="A55" s="3">
        <v>45489</v>
      </c>
      <c r="B55" s="5" t="s">
        <v>74</v>
      </c>
      <c r="C55" s="5" t="s">
        <v>75</v>
      </c>
      <c r="D55" s="49">
        <v>2</v>
      </c>
      <c r="E55" s="5" t="s">
        <v>16</v>
      </c>
      <c r="F55" s="49">
        <v>10</v>
      </c>
      <c r="G55" s="20">
        <v>1655.79</v>
      </c>
    </row>
    <row r="56" spans="1:7" x14ac:dyDescent="0.25">
      <c r="A56" s="3">
        <v>45489</v>
      </c>
      <c r="B56" s="5" t="s">
        <v>76</v>
      </c>
      <c r="C56" s="5" t="s">
        <v>77</v>
      </c>
      <c r="D56" s="49">
        <v>57</v>
      </c>
      <c r="E56" s="5" t="s">
        <v>16</v>
      </c>
      <c r="F56" s="49">
        <v>10</v>
      </c>
      <c r="G56" s="20">
        <v>14020.03</v>
      </c>
    </row>
    <row r="57" spans="1:7" x14ac:dyDescent="0.25">
      <c r="A57" s="3">
        <v>45489</v>
      </c>
      <c r="B57" s="5" t="s">
        <v>78</v>
      </c>
      <c r="C57" s="5" t="s">
        <v>200</v>
      </c>
      <c r="D57" s="49">
        <v>4</v>
      </c>
      <c r="E57" s="5" t="s">
        <v>16</v>
      </c>
      <c r="F57" s="49">
        <v>10</v>
      </c>
      <c r="G57" s="20">
        <v>18312.27</v>
      </c>
    </row>
    <row r="58" spans="1:7" x14ac:dyDescent="0.25">
      <c r="A58" s="3">
        <v>45489</v>
      </c>
      <c r="B58" s="5" t="s">
        <v>79</v>
      </c>
      <c r="C58" s="5" t="s">
        <v>201</v>
      </c>
      <c r="D58" s="49">
        <v>5</v>
      </c>
      <c r="E58" s="5" t="s">
        <v>16</v>
      </c>
      <c r="F58" s="49">
        <v>10</v>
      </c>
      <c r="G58" s="20">
        <v>15837.64</v>
      </c>
    </row>
    <row r="59" spans="1:7" x14ac:dyDescent="0.25">
      <c r="A59" s="3">
        <v>45489</v>
      </c>
      <c r="B59" s="5" t="s">
        <v>177</v>
      </c>
      <c r="C59" s="5" t="s">
        <v>178</v>
      </c>
      <c r="D59" s="49">
        <v>18</v>
      </c>
      <c r="E59" s="5" t="s">
        <v>16</v>
      </c>
      <c r="F59" s="49">
        <v>10</v>
      </c>
      <c r="G59" s="20">
        <v>4187.33</v>
      </c>
    </row>
    <row r="60" spans="1:7" x14ac:dyDescent="0.25">
      <c r="A60" s="3">
        <v>45489</v>
      </c>
      <c r="B60" s="5" t="s">
        <v>80</v>
      </c>
      <c r="C60" s="5" t="s">
        <v>81</v>
      </c>
      <c r="D60" s="49">
        <v>16</v>
      </c>
      <c r="E60" s="5" t="s">
        <v>16</v>
      </c>
      <c r="F60" s="49">
        <v>10</v>
      </c>
      <c r="G60" s="20">
        <v>3659.32</v>
      </c>
    </row>
    <row r="61" spans="1:7" x14ac:dyDescent="0.25">
      <c r="A61" s="3">
        <v>45489</v>
      </c>
      <c r="B61" s="5" t="s">
        <v>82</v>
      </c>
      <c r="C61" s="5" t="s">
        <v>202</v>
      </c>
      <c r="D61" s="49">
        <v>2</v>
      </c>
      <c r="E61" s="5" t="s">
        <v>16</v>
      </c>
      <c r="F61" s="49">
        <v>10</v>
      </c>
      <c r="G61" s="20">
        <v>12233.66</v>
      </c>
    </row>
    <row r="62" spans="1:7" x14ac:dyDescent="0.25">
      <c r="A62" s="3">
        <v>45489</v>
      </c>
      <c r="B62" s="5" t="s">
        <v>294</v>
      </c>
      <c r="C62" s="5" t="s">
        <v>295</v>
      </c>
      <c r="D62" s="49">
        <v>6</v>
      </c>
      <c r="E62" s="5" t="s">
        <v>16</v>
      </c>
      <c r="F62" s="49">
        <v>10</v>
      </c>
      <c r="G62" s="20">
        <v>18857.11</v>
      </c>
    </row>
    <row r="63" spans="1:7" x14ac:dyDescent="0.25">
      <c r="A63" s="3">
        <v>45489</v>
      </c>
      <c r="B63" s="5" t="s">
        <v>83</v>
      </c>
      <c r="C63" s="5" t="s">
        <v>84</v>
      </c>
      <c r="D63" s="49">
        <v>2</v>
      </c>
      <c r="E63" s="5" t="s">
        <v>16</v>
      </c>
      <c r="F63" s="49">
        <v>10</v>
      </c>
      <c r="G63" s="20">
        <v>15258.84</v>
      </c>
    </row>
    <row r="64" spans="1:7" x14ac:dyDescent="0.25">
      <c r="A64" s="3">
        <v>45489</v>
      </c>
      <c r="B64" s="5" t="s">
        <v>152</v>
      </c>
      <c r="C64" s="5" t="s">
        <v>222</v>
      </c>
      <c r="D64" s="49">
        <v>2</v>
      </c>
      <c r="E64" s="5" t="s">
        <v>16</v>
      </c>
      <c r="F64" s="49">
        <v>10</v>
      </c>
      <c r="G64" s="20">
        <v>4151.3900000000003</v>
      </c>
    </row>
    <row r="65" spans="1:7" x14ac:dyDescent="0.25">
      <c r="A65" s="3">
        <v>45489</v>
      </c>
      <c r="B65" s="5" t="s">
        <v>85</v>
      </c>
      <c r="C65" s="5" t="s">
        <v>86</v>
      </c>
      <c r="D65" s="49">
        <v>4</v>
      </c>
      <c r="E65" s="5" t="s">
        <v>16</v>
      </c>
      <c r="F65" s="49">
        <v>10</v>
      </c>
      <c r="G65" s="20">
        <v>6925.83</v>
      </c>
    </row>
    <row r="66" spans="1:7" x14ac:dyDescent="0.25">
      <c r="A66" s="3">
        <v>45489</v>
      </c>
      <c r="B66" s="5" t="s">
        <v>87</v>
      </c>
      <c r="C66" s="5" t="s">
        <v>203</v>
      </c>
      <c r="D66" s="49">
        <v>7</v>
      </c>
      <c r="E66" s="5" t="s">
        <v>16</v>
      </c>
      <c r="F66" s="49">
        <v>10</v>
      </c>
      <c r="G66" s="20">
        <v>4623.1400000000003</v>
      </c>
    </row>
    <row r="67" spans="1:7" x14ac:dyDescent="0.25">
      <c r="A67" s="3">
        <v>45489</v>
      </c>
      <c r="B67" s="5" t="s">
        <v>296</v>
      </c>
      <c r="C67" s="5" t="s">
        <v>297</v>
      </c>
      <c r="D67" s="49">
        <v>1</v>
      </c>
      <c r="E67" s="5" t="s">
        <v>16</v>
      </c>
      <c r="F67" s="49">
        <v>10</v>
      </c>
      <c r="G67" s="20">
        <v>1805.55</v>
      </c>
    </row>
    <row r="68" spans="1:7" x14ac:dyDescent="0.25">
      <c r="A68" s="3">
        <v>45489</v>
      </c>
      <c r="B68" s="5" t="s">
        <v>88</v>
      </c>
      <c r="C68" s="5" t="s">
        <v>89</v>
      </c>
      <c r="D68" s="49">
        <v>18</v>
      </c>
      <c r="E68" s="5" t="s">
        <v>16</v>
      </c>
      <c r="F68" s="49">
        <v>10</v>
      </c>
      <c r="G68" s="20">
        <v>8390.07</v>
      </c>
    </row>
    <row r="69" spans="1:7" x14ac:dyDescent="0.25">
      <c r="A69" s="3">
        <v>45489</v>
      </c>
      <c r="B69" s="5" t="s">
        <v>90</v>
      </c>
      <c r="C69" s="5" t="s">
        <v>91</v>
      </c>
      <c r="D69" s="49">
        <v>1</v>
      </c>
      <c r="E69" s="5" t="s">
        <v>16</v>
      </c>
      <c r="F69" s="49">
        <v>10</v>
      </c>
      <c r="G69" s="20">
        <v>12560.14</v>
      </c>
    </row>
    <row r="70" spans="1:7" x14ac:dyDescent="0.25">
      <c r="A70" s="3">
        <v>45489</v>
      </c>
      <c r="B70" s="5" t="s">
        <v>252</v>
      </c>
      <c r="C70" s="5" t="s">
        <v>230</v>
      </c>
      <c r="D70" s="49">
        <v>18</v>
      </c>
      <c r="E70" s="5" t="s">
        <v>16</v>
      </c>
      <c r="F70" s="49">
        <v>10</v>
      </c>
      <c r="G70" s="20">
        <v>64038.45</v>
      </c>
    </row>
    <row r="71" spans="1:7" x14ac:dyDescent="0.25">
      <c r="A71" s="3">
        <v>45489</v>
      </c>
      <c r="B71" s="5" t="s">
        <v>92</v>
      </c>
      <c r="C71" s="5" t="s">
        <v>223</v>
      </c>
      <c r="D71" s="49">
        <v>14</v>
      </c>
      <c r="E71" s="5" t="s">
        <v>16</v>
      </c>
      <c r="F71" s="49">
        <v>10</v>
      </c>
      <c r="G71" s="20">
        <v>5074.92</v>
      </c>
    </row>
    <row r="72" spans="1:7" x14ac:dyDescent="0.25">
      <c r="A72" s="3">
        <v>45489</v>
      </c>
      <c r="B72" s="5" t="s">
        <v>170</v>
      </c>
      <c r="C72" s="5" t="s">
        <v>171</v>
      </c>
      <c r="D72" s="49">
        <v>5</v>
      </c>
      <c r="E72" s="5" t="s">
        <v>16</v>
      </c>
      <c r="F72" s="49">
        <v>10</v>
      </c>
      <c r="G72" s="20">
        <v>4330.96</v>
      </c>
    </row>
    <row r="73" spans="1:7" x14ac:dyDescent="0.25">
      <c r="A73" s="3">
        <v>45489</v>
      </c>
      <c r="B73" s="5" t="s">
        <v>185</v>
      </c>
      <c r="C73" s="5" t="s">
        <v>186</v>
      </c>
      <c r="D73" s="49">
        <v>12</v>
      </c>
      <c r="E73" s="5" t="s">
        <v>16</v>
      </c>
      <c r="F73" s="49">
        <v>10</v>
      </c>
      <c r="G73" s="20">
        <v>6297.69</v>
      </c>
    </row>
    <row r="74" spans="1:7" x14ac:dyDescent="0.25">
      <c r="A74" s="3">
        <v>45489</v>
      </c>
      <c r="B74" s="5" t="s">
        <v>93</v>
      </c>
      <c r="C74" s="5" t="s">
        <v>204</v>
      </c>
      <c r="D74" s="49">
        <v>38</v>
      </c>
      <c r="E74" s="5" t="s">
        <v>16</v>
      </c>
      <c r="F74" s="49">
        <v>10</v>
      </c>
      <c r="G74" s="20">
        <v>122910.69</v>
      </c>
    </row>
    <row r="75" spans="1:7" x14ac:dyDescent="0.25">
      <c r="A75" s="3">
        <v>45489</v>
      </c>
      <c r="B75" s="5" t="s">
        <v>94</v>
      </c>
      <c r="C75" s="5" t="s">
        <v>224</v>
      </c>
      <c r="D75" s="49">
        <v>15</v>
      </c>
      <c r="E75" s="5" t="s">
        <v>16</v>
      </c>
      <c r="F75" s="49">
        <v>10</v>
      </c>
      <c r="G75" s="20">
        <v>14286.18</v>
      </c>
    </row>
    <row r="76" spans="1:7" x14ac:dyDescent="0.25">
      <c r="A76" s="3">
        <v>45489</v>
      </c>
      <c r="B76" s="5" t="s">
        <v>95</v>
      </c>
      <c r="C76" s="5" t="s">
        <v>205</v>
      </c>
      <c r="D76" s="49">
        <v>6</v>
      </c>
      <c r="E76" s="5" t="s">
        <v>16</v>
      </c>
      <c r="F76" s="49">
        <v>10</v>
      </c>
      <c r="G76" s="20">
        <v>27710.16</v>
      </c>
    </row>
    <row r="77" spans="1:7" x14ac:dyDescent="0.25">
      <c r="A77" s="3">
        <v>45489</v>
      </c>
      <c r="B77" s="5" t="s">
        <v>96</v>
      </c>
      <c r="C77" s="5" t="s">
        <v>97</v>
      </c>
      <c r="D77" s="49">
        <v>127</v>
      </c>
      <c r="E77" s="5" t="s">
        <v>16</v>
      </c>
      <c r="F77" s="49">
        <v>10</v>
      </c>
      <c r="G77" s="20">
        <v>117052.73</v>
      </c>
    </row>
    <row r="78" spans="1:7" x14ac:dyDescent="0.25">
      <c r="A78" s="3">
        <v>45489</v>
      </c>
      <c r="B78" s="5" t="s">
        <v>149</v>
      </c>
      <c r="C78" s="5" t="s">
        <v>225</v>
      </c>
      <c r="D78" s="49">
        <v>3</v>
      </c>
      <c r="E78" s="5" t="s">
        <v>16</v>
      </c>
      <c r="F78" s="49">
        <v>10</v>
      </c>
      <c r="G78" s="20">
        <v>5994.52</v>
      </c>
    </row>
    <row r="79" spans="1:7" x14ac:dyDescent="0.25">
      <c r="A79" s="3">
        <v>45489</v>
      </c>
      <c r="B79" s="5" t="s">
        <v>246</v>
      </c>
      <c r="C79" s="5" t="s">
        <v>247</v>
      </c>
      <c r="D79" s="49">
        <v>3</v>
      </c>
      <c r="E79" s="5" t="s">
        <v>16</v>
      </c>
      <c r="F79" s="49">
        <v>10</v>
      </c>
      <c r="G79" s="20">
        <v>4069.66</v>
      </c>
    </row>
    <row r="80" spans="1:7" x14ac:dyDescent="0.25">
      <c r="A80" s="3">
        <v>45489</v>
      </c>
      <c r="B80" s="5" t="s">
        <v>278</v>
      </c>
      <c r="C80" s="5" t="s">
        <v>279</v>
      </c>
      <c r="D80" s="49">
        <v>6</v>
      </c>
      <c r="E80" s="5" t="s">
        <v>16</v>
      </c>
      <c r="F80" s="49">
        <v>10</v>
      </c>
      <c r="G80" s="20">
        <v>3289.19</v>
      </c>
    </row>
    <row r="81" spans="1:7" x14ac:dyDescent="0.25">
      <c r="A81" s="3">
        <v>45489</v>
      </c>
      <c r="B81" s="5" t="s">
        <v>98</v>
      </c>
      <c r="C81" s="5" t="s">
        <v>99</v>
      </c>
      <c r="D81" s="49">
        <v>1</v>
      </c>
      <c r="E81" s="5" t="s">
        <v>16</v>
      </c>
      <c r="F81" s="49">
        <v>10</v>
      </c>
      <c r="G81" s="20">
        <v>7417.54</v>
      </c>
    </row>
    <row r="82" spans="1:7" x14ac:dyDescent="0.25">
      <c r="A82" s="3">
        <v>45489</v>
      </c>
      <c r="B82" s="5" t="s">
        <v>239</v>
      </c>
      <c r="C82" s="5" t="s">
        <v>240</v>
      </c>
      <c r="D82" s="49">
        <v>4</v>
      </c>
      <c r="E82" s="5" t="s">
        <v>16</v>
      </c>
      <c r="F82" s="49">
        <v>10</v>
      </c>
      <c r="G82" s="20">
        <v>9599</v>
      </c>
    </row>
    <row r="83" spans="1:7" x14ac:dyDescent="0.25">
      <c r="A83" s="3">
        <v>45489</v>
      </c>
      <c r="B83" s="5" t="s">
        <v>100</v>
      </c>
      <c r="C83" s="5" t="s">
        <v>206</v>
      </c>
      <c r="D83" s="49">
        <v>5</v>
      </c>
      <c r="E83" s="5" t="s">
        <v>16</v>
      </c>
      <c r="F83" s="49">
        <v>10</v>
      </c>
      <c r="G83" s="20">
        <v>4218.28</v>
      </c>
    </row>
    <row r="84" spans="1:7" x14ac:dyDescent="0.25">
      <c r="A84" s="3">
        <v>45489</v>
      </c>
      <c r="B84" s="5" t="s">
        <v>101</v>
      </c>
      <c r="C84" s="5" t="s">
        <v>207</v>
      </c>
      <c r="D84" s="49">
        <v>7</v>
      </c>
      <c r="E84" s="5" t="s">
        <v>16</v>
      </c>
      <c r="F84" s="49">
        <v>10</v>
      </c>
      <c r="G84" s="20">
        <v>5147.3</v>
      </c>
    </row>
    <row r="85" spans="1:7" x14ac:dyDescent="0.25">
      <c r="A85" s="3">
        <v>45489</v>
      </c>
      <c r="B85" s="5" t="s">
        <v>150</v>
      </c>
      <c r="C85" s="5" t="s">
        <v>151</v>
      </c>
      <c r="D85" s="49">
        <v>9</v>
      </c>
      <c r="E85" s="5" t="s">
        <v>16</v>
      </c>
      <c r="F85" s="49">
        <v>10</v>
      </c>
      <c r="G85" s="20">
        <v>9141.01</v>
      </c>
    </row>
    <row r="86" spans="1:7" x14ac:dyDescent="0.25">
      <c r="A86" s="3">
        <v>45489</v>
      </c>
      <c r="B86" s="5" t="s">
        <v>128</v>
      </c>
      <c r="C86" s="5" t="s">
        <v>208</v>
      </c>
      <c r="D86" s="49">
        <v>18</v>
      </c>
      <c r="E86" s="5" t="s">
        <v>16</v>
      </c>
      <c r="F86" s="49">
        <v>10</v>
      </c>
      <c r="G86" s="20">
        <v>21357.7</v>
      </c>
    </row>
    <row r="87" spans="1:7" x14ac:dyDescent="0.25">
      <c r="A87" s="3">
        <v>45489</v>
      </c>
      <c r="B87" s="5" t="s">
        <v>102</v>
      </c>
      <c r="C87" s="5" t="s">
        <v>264</v>
      </c>
      <c r="D87" s="49">
        <v>14</v>
      </c>
      <c r="E87" s="5" t="s">
        <v>16</v>
      </c>
      <c r="F87" s="49">
        <v>10</v>
      </c>
      <c r="G87" s="20">
        <v>6017.42</v>
      </c>
    </row>
    <row r="88" spans="1:7" x14ac:dyDescent="0.25">
      <c r="A88" s="3">
        <v>45489</v>
      </c>
      <c r="B88" s="5" t="s">
        <v>103</v>
      </c>
      <c r="C88" s="5" t="s">
        <v>209</v>
      </c>
      <c r="D88" s="49">
        <v>15</v>
      </c>
      <c r="E88" s="5" t="s">
        <v>16</v>
      </c>
      <c r="F88" s="49">
        <v>10</v>
      </c>
      <c r="G88" s="20">
        <v>21654.44</v>
      </c>
    </row>
    <row r="89" spans="1:7" x14ac:dyDescent="0.25">
      <c r="A89" s="3">
        <v>45489</v>
      </c>
      <c r="B89" s="5" t="s">
        <v>104</v>
      </c>
      <c r="C89" s="5" t="s">
        <v>105</v>
      </c>
      <c r="D89" s="49">
        <v>1</v>
      </c>
      <c r="E89" s="5" t="s">
        <v>16</v>
      </c>
      <c r="F89" s="49">
        <v>10</v>
      </c>
      <c r="G89" s="20">
        <v>7845.01</v>
      </c>
    </row>
    <row r="90" spans="1:7" x14ac:dyDescent="0.25">
      <c r="A90" s="3">
        <v>45489</v>
      </c>
      <c r="B90" s="5" t="s">
        <v>298</v>
      </c>
      <c r="C90" s="5" t="s">
        <v>299</v>
      </c>
      <c r="D90" s="49">
        <v>1</v>
      </c>
      <c r="E90" s="5" t="s">
        <v>16</v>
      </c>
      <c r="F90" s="49">
        <v>10</v>
      </c>
      <c r="G90" s="20">
        <v>3982.09</v>
      </c>
    </row>
    <row r="91" spans="1:7" x14ac:dyDescent="0.25">
      <c r="A91" s="3">
        <v>45489</v>
      </c>
      <c r="B91" s="5" t="s">
        <v>106</v>
      </c>
      <c r="C91" s="5" t="s">
        <v>210</v>
      </c>
      <c r="D91" s="49">
        <v>4</v>
      </c>
      <c r="E91" s="5" t="s">
        <v>16</v>
      </c>
      <c r="F91" s="49">
        <v>10</v>
      </c>
      <c r="G91" s="20">
        <v>4328.25</v>
      </c>
    </row>
    <row r="92" spans="1:7" x14ac:dyDescent="0.25">
      <c r="A92" s="3">
        <v>45489</v>
      </c>
      <c r="B92" s="5" t="s">
        <v>107</v>
      </c>
      <c r="C92" s="5" t="s">
        <v>108</v>
      </c>
      <c r="D92" s="49">
        <v>15</v>
      </c>
      <c r="E92" s="5" t="s">
        <v>16</v>
      </c>
      <c r="F92" s="49">
        <v>10</v>
      </c>
      <c r="G92" s="20">
        <v>8004.75</v>
      </c>
    </row>
    <row r="93" spans="1:7" x14ac:dyDescent="0.25">
      <c r="A93" s="3">
        <v>45489</v>
      </c>
      <c r="B93" s="5" t="s">
        <v>109</v>
      </c>
      <c r="C93" s="5" t="s">
        <v>226</v>
      </c>
      <c r="D93" s="49">
        <v>2</v>
      </c>
      <c r="E93" s="5" t="s">
        <v>16</v>
      </c>
      <c r="F93" s="49">
        <v>10</v>
      </c>
      <c r="G93" s="20">
        <v>8758.2000000000007</v>
      </c>
    </row>
    <row r="94" spans="1:7" x14ac:dyDescent="0.25">
      <c r="A94" s="3">
        <v>45489</v>
      </c>
      <c r="B94" s="5" t="s">
        <v>187</v>
      </c>
      <c r="C94" s="5" t="s">
        <v>188</v>
      </c>
      <c r="D94" s="49">
        <v>2</v>
      </c>
      <c r="E94" s="5" t="s">
        <v>16</v>
      </c>
      <c r="F94" s="49">
        <v>10</v>
      </c>
      <c r="G94" s="20">
        <v>2588.02</v>
      </c>
    </row>
    <row r="95" spans="1:7" x14ac:dyDescent="0.25">
      <c r="A95" s="3">
        <v>45489</v>
      </c>
      <c r="B95" s="5" t="s">
        <v>110</v>
      </c>
      <c r="C95" s="5" t="s">
        <v>111</v>
      </c>
      <c r="D95" s="49">
        <v>16</v>
      </c>
      <c r="E95" s="5" t="s">
        <v>16</v>
      </c>
      <c r="F95" s="49">
        <v>10</v>
      </c>
      <c r="G95" s="20">
        <v>20486.23</v>
      </c>
    </row>
    <row r="96" spans="1:7" x14ac:dyDescent="0.25">
      <c r="A96" s="3">
        <v>45489</v>
      </c>
      <c r="B96" s="5" t="s">
        <v>112</v>
      </c>
      <c r="C96" s="5" t="s">
        <v>227</v>
      </c>
      <c r="D96" s="49">
        <v>25</v>
      </c>
      <c r="E96" s="5" t="s">
        <v>16</v>
      </c>
      <c r="F96" s="49">
        <v>10</v>
      </c>
      <c r="G96" s="20">
        <v>44256.31</v>
      </c>
    </row>
    <row r="97" spans="1:7" x14ac:dyDescent="0.25">
      <c r="A97" s="3">
        <v>45489</v>
      </c>
      <c r="B97" s="5" t="s">
        <v>280</v>
      </c>
      <c r="C97" s="5" t="s">
        <v>281</v>
      </c>
      <c r="D97" s="49">
        <v>6</v>
      </c>
      <c r="E97" s="5" t="s">
        <v>16</v>
      </c>
      <c r="F97" s="49">
        <v>10</v>
      </c>
      <c r="G97" s="20">
        <v>4256.6499999999996</v>
      </c>
    </row>
    <row r="98" spans="1:7" x14ac:dyDescent="0.25">
      <c r="A98" s="3">
        <v>45489</v>
      </c>
      <c r="B98" s="5" t="s">
        <v>300</v>
      </c>
      <c r="C98" s="5" t="s">
        <v>301</v>
      </c>
      <c r="D98" s="49">
        <v>2</v>
      </c>
      <c r="E98" s="5" t="s">
        <v>16</v>
      </c>
      <c r="F98" s="49">
        <v>10</v>
      </c>
      <c r="G98" s="20">
        <v>2187.23</v>
      </c>
    </row>
    <row r="99" spans="1:7" x14ac:dyDescent="0.25">
      <c r="A99" s="3">
        <v>45489</v>
      </c>
      <c r="B99" s="5" t="s">
        <v>113</v>
      </c>
      <c r="C99" s="5" t="s">
        <v>228</v>
      </c>
      <c r="D99" s="49">
        <v>12</v>
      </c>
      <c r="E99" s="5" t="s">
        <v>16</v>
      </c>
      <c r="F99" s="49">
        <v>10</v>
      </c>
      <c r="G99" s="20">
        <v>17275.63</v>
      </c>
    </row>
    <row r="100" spans="1:7" x14ac:dyDescent="0.25">
      <c r="A100" s="3">
        <v>45489</v>
      </c>
      <c r="B100" s="5" t="s">
        <v>114</v>
      </c>
      <c r="C100" s="5" t="s">
        <v>115</v>
      </c>
      <c r="D100" s="49">
        <v>2</v>
      </c>
      <c r="E100" s="5" t="s">
        <v>16</v>
      </c>
      <c r="F100" s="49">
        <v>10</v>
      </c>
      <c r="G100" s="20">
        <v>3956.27</v>
      </c>
    </row>
    <row r="101" spans="1:7" x14ac:dyDescent="0.25">
      <c r="A101" s="3">
        <v>45489</v>
      </c>
      <c r="B101" s="5" t="s">
        <v>116</v>
      </c>
      <c r="C101" s="5" t="s">
        <v>117</v>
      </c>
      <c r="D101" s="49">
        <v>3</v>
      </c>
      <c r="E101" s="5" t="s">
        <v>16</v>
      </c>
      <c r="F101" s="49">
        <v>10</v>
      </c>
      <c r="G101" s="20">
        <v>10456.35</v>
      </c>
    </row>
    <row r="102" spans="1:7" x14ac:dyDescent="0.25">
      <c r="A102" s="3">
        <v>45489</v>
      </c>
      <c r="B102" s="5" t="s">
        <v>118</v>
      </c>
      <c r="C102" s="5" t="s">
        <v>119</v>
      </c>
      <c r="D102" s="49">
        <v>11</v>
      </c>
      <c r="E102" s="5" t="s">
        <v>16</v>
      </c>
      <c r="F102" s="49">
        <v>10</v>
      </c>
      <c r="G102" s="20">
        <v>902.13</v>
      </c>
    </row>
    <row r="103" spans="1:7" x14ac:dyDescent="0.25">
      <c r="A103" s="3">
        <v>45489</v>
      </c>
      <c r="B103" s="5" t="s">
        <v>273</v>
      </c>
      <c r="C103" s="5" t="s">
        <v>274</v>
      </c>
      <c r="D103" s="49">
        <v>33</v>
      </c>
      <c r="E103" s="5" t="s">
        <v>16</v>
      </c>
      <c r="F103" s="49">
        <v>10</v>
      </c>
      <c r="G103" s="20">
        <v>1741.51</v>
      </c>
    </row>
    <row r="104" spans="1:7" x14ac:dyDescent="0.25">
      <c r="A104" s="3">
        <v>45489</v>
      </c>
      <c r="B104" s="5" t="s">
        <v>120</v>
      </c>
      <c r="C104" s="5" t="s">
        <v>121</v>
      </c>
      <c r="D104" s="49">
        <v>3</v>
      </c>
      <c r="E104" s="5" t="s">
        <v>16</v>
      </c>
      <c r="F104" s="49">
        <v>10</v>
      </c>
      <c r="G104" s="20">
        <v>4921.16</v>
      </c>
    </row>
    <row r="105" spans="1:7" x14ac:dyDescent="0.25">
      <c r="A105" s="3">
        <v>45489</v>
      </c>
      <c r="B105" s="5" t="s">
        <v>129</v>
      </c>
      <c r="C105" s="5" t="s">
        <v>130</v>
      </c>
      <c r="D105" s="49">
        <v>7</v>
      </c>
      <c r="E105" s="5" t="s">
        <v>16</v>
      </c>
      <c r="F105" s="49">
        <v>10</v>
      </c>
      <c r="G105" s="20">
        <v>2709.68</v>
      </c>
    </row>
    <row r="106" spans="1:7" x14ac:dyDescent="0.25">
      <c r="A106" s="3">
        <v>45489</v>
      </c>
      <c r="B106" s="5" t="s">
        <v>241</v>
      </c>
      <c r="C106" s="5" t="s">
        <v>242</v>
      </c>
      <c r="D106" s="49">
        <v>2</v>
      </c>
      <c r="E106" s="5" t="s">
        <v>16</v>
      </c>
      <c r="F106" s="49">
        <v>10</v>
      </c>
      <c r="G106" s="20">
        <v>2879.7</v>
      </c>
    </row>
    <row r="107" spans="1:7" x14ac:dyDescent="0.25">
      <c r="G107" s="72"/>
    </row>
    <row r="108" spans="1:7" x14ac:dyDescent="0.25">
      <c r="G108"/>
    </row>
    <row r="109" spans="1:7" x14ac:dyDescent="0.25">
      <c r="G109"/>
    </row>
    <row r="110" spans="1:7" x14ac:dyDescent="0.25">
      <c r="G110"/>
    </row>
  </sheetData>
  <phoneticPr fontId="1" type="noConversion"/>
  <conditionalFormatting sqref="K1:K2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E2"/>
  <sheetViews>
    <sheetView workbookViewId="0">
      <selection activeCell="N13" sqref="N13"/>
    </sheetView>
  </sheetViews>
  <sheetFormatPr defaultRowHeight="12.5" x14ac:dyDescent="0.25"/>
  <sheetData>
    <row r="2" spans="5:5" x14ac:dyDescent="0.25">
      <c r="E2">
        <v>20240716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55316C-6EF8-4A8F-BFFA-D257F39A9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监控界面</vt:lpstr>
      <vt:lpstr>交易监控表</vt:lpstr>
      <vt:lpstr>7.15 513050</vt:lpstr>
      <vt:lpstr>7.16 513050</vt:lpstr>
      <vt:lpstr>7.17 513050</vt:lpstr>
      <vt:lpstr>7.12 513050</vt:lpstr>
      <vt:lpstr>Sheet1</vt:lpstr>
      <vt:lpstr>纳指ETF折溢价</vt:lpstr>
      <vt:lpstr>广发中概折溢价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xyq_trade</dc:creator>
  <cp:lastModifiedBy>Menger Gilmour</cp:lastModifiedBy>
  <dcterms:created xsi:type="dcterms:W3CDTF">2017-09-11T02:46:52Z</dcterms:created>
  <dcterms:modified xsi:type="dcterms:W3CDTF">2024-07-18T13:02:36Z</dcterms:modified>
</cp:coreProperties>
</file>