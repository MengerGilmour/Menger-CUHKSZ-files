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12FA2396-F421-4101-B397-3758439A5DF9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30" i="6" l="1"/>
  <c r="AV30" i="6"/>
  <c r="AU30" i="6"/>
  <c r="AT30" i="6"/>
  <c r="AS30" i="6"/>
  <c r="AR30" i="6"/>
  <c r="AQ30" i="6"/>
  <c r="AP30" i="6"/>
  <c r="AO30" i="6"/>
  <c r="AN30" i="6"/>
  <c r="S3" i="6"/>
  <c r="R3" i="6"/>
  <c r="AB9" i="6"/>
  <c r="AC9" i="6" s="1"/>
  <c r="T6" i="6"/>
  <c r="R48" i="6"/>
  <c r="AF29" i="6"/>
  <c r="O6" i="6"/>
  <c r="AU16" i="6"/>
  <c r="AP45" i="6"/>
  <c r="AQ13" i="6"/>
  <c r="AV14" i="6"/>
  <c r="AD36" i="6"/>
  <c r="AD34" i="6"/>
  <c r="AY14" i="6"/>
  <c r="AO13" i="6"/>
  <c r="AD41" i="6"/>
  <c r="AD37" i="6"/>
  <c r="AO16" i="6"/>
  <c r="AD35" i="6"/>
  <c r="AD40" i="6"/>
  <c r="AD31" i="6"/>
  <c r="BB14" i="6"/>
  <c r="AD30" i="6"/>
  <c r="AD33" i="6"/>
  <c r="AX14" i="6"/>
  <c r="AD29" i="6"/>
  <c r="AU14" i="6"/>
  <c r="AO17" i="6"/>
  <c r="BD14" i="6"/>
  <c r="BC14" i="6"/>
  <c r="AD39" i="6"/>
  <c r="AO14" i="6"/>
  <c r="AW14" i="6"/>
  <c r="AZ14" i="6"/>
  <c r="AO15" i="6"/>
  <c r="BA14" i="6"/>
  <c r="AD32" i="6"/>
  <c r="AD38" i="6"/>
  <c r="AG7" i="6" l="1"/>
  <c r="W61" i="6"/>
  <c r="V6" i="6"/>
  <c r="AF7" i="6"/>
  <c r="AE7" i="6"/>
  <c r="AB6" i="6"/>
  <c r="AN28" i="6"/>
  <c r="V8" i="6"/>
  <c r="AX28" i="6"/>
  <c r="AP33" i="6" s="1"/>
  <c r="AP28" i="6"/>
  <c r="AW28" i="6"/>
  <c r="AV28" i="6"/>
  <c r="AQ3" i="6"/>
  <c r="AU28" i="6"/>
  <c r="AT28" i="6"/>
  <c r="AO28" i="6"/>
  <c r="AQ28" i="6"/>
  <c r="AR28" i="6"/>
  <c r="AS28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AI7" i="6"/>
  <c r="AO4" i="6"/>
  <c r="AJ7" i="6"/>
  <c r="AK7" i="6"/>
  <c r="I6" i="6"/>
  <c r="T3" i="6" s="1"/>
  <c r="U6" i="6" s="1"/>
  <c r="G9" i="26"/>
  <c r="G6" i="26"/>
  <c r="G4" i="26"/>
  <c r="G2" i="26"/>
  <c r="G3" i="26"/>
  <c r="C2" i="26"/>
  <c r="B2" i="26"/>
  <c r="J45" i="4"/>
  <c r="J82" i="4"/>
  <c r="J24" i="4"/>
  <c r="J85" i="4"/>
  <c r="J51" i="4"/>
  <c r="J16" i="4"/>
  <c r="J31" i="4"/>
  <c r="I91" i="4"/>
  <c r="I21" i="4"/>
  <c r="I58" i="4"/>
  <c r="I95" i="4"/>
  <c r="I49" i="4"/>
  <c r="I98" i="4"/>
  <c r="I52" i="4"/>
  <c r="I101" i="4"/>
  <c r="J57" i="4"/>
  <c r="J94" i="4"/>
  <c r="J36" i="4"/>
  <c r="J97" i="4"/>
  <c r="J63" i="4"/>
  <c r="J101" i="4"/>
  <c r="J52" i="4"/>
  <c r="J55" i="4"/>
  <c r="I103" i="4"/>
  <c r="I70" i="4"/>
  <c r="I61" i="4"/>
  <c r="I64" i="4"/>
  <c r="J106" i="4"/>
  <c r="J30" i="4"/>
  <c r="I45" i="4"/>
  <c r="I24" i="4"/>
  <c r="J84" i="4"/>
  <c r="J90" i="4"/>
  <c r="I81" i="4"/>
  <c r="J96" i="4"/>
  <c r="I93" i="4"/>
  <c r="J59" i="4"/>
  <c r="J64" i="4"/>
  <c r="J43" i="4"/>
  <c r="I68" i="4"/>
  <c r="I35" i="4"/>
  <c r="I41" i="4"/>
  <c r="J37" i="4"/>
  <c r="I43" i="4"/>
  <c r="I99" i="4"/>
  <c r="J29" i="4"/>
  <c r="J53" i="4"/>
  <c r="I46" i="4"/>
  <c r="I89" i="4"/>
  <c r="J20" i="4"/>
  <c r="I33" i="4"/>
  <c r="I18" i="4"/>
  <c r="J32" i="4"/>
  <c r="J48" i="4"/>
  <c r="I82" i="4"/>
  <c r="I27" i="4"/>
  <c r="I30" i="4"/>
  <c r="J35" i="4"/>
  <c r="J28" i="4"/>
  <c r="I44" i="4"/>
  <c r="I66" i="4"/>
  <c r="J62" i="4"/>
  <c r="I56" i="4"/>
  <c r="J22" i="4"/>
  <c r="J18" i="4"/>
  <c r="I105" i="4"/>
  <c r="I38" i="4"/>
  <c r="J42" i="4"/>
  <c r="I47" i="4"/>
  <c r="I102" i="4"/>
  <c r="J102" i="4"/>
  <c r="I28" i="4"/>
  <c r="J27" i="4"/>
  <c r="I37" i="4"/>
  <c r="J69" i="4"/>
  <c r="J50" i="4"/>
  <c r="I60" i="4"/>
  <c r="I23" i="4"/>
  <c r="I87" i="4"/>
  <c r="J95" i="4"/>
  <c r="I34" i="4"/>
  <c r="I86" i="4"/>
  <c r="J44" i="4"/>
  <c r="J81" i="4"/>
  <c r="J60" i="4"/>
  <c r="J26" i="4"/>
  <c r="J87" i="4"/>
  <c r="J54" i="4"/>
  <c r="J17" i="4"/>
  <c r="J103" i="4"/>
  <c r="I20" i="4"/>
  <c r="I57" i="4"/>
  <c r="I94" i="4"/>
  <c r="I36" i="4"/>
  <c r="I85" i="4"/>
  <c r="I39" i="4"/>
  <c r="I88" i="4"/>
  <c r="I42" i="4"/>
  <c r="J56" i="4"/>
  <c r="J23" i="4"/>
  <c r="J38" i="4"/>
  <c r="J99" i="4"/>
  <c r="J66" i="4"/>
  <c r="J41" i="4"/>
  <c r="I32" i="4"/>
  <c r="I69" i="4"/>
  <c r="I106" i="4"/>
  <c r="I48" i="4"/>
  <c r="I97" i="4"/>
  <c r="I51" i="4"/>
  <c r="I100" i="4"/>
  <c r="I54" i="4"/>
  <c r="I17" i="4"/>
  <c r="J40" i="4"/>
  <c r="I19" i="4"/>
  <c r="I29" i="4"/>
  <c r="J92" i="4"/>
  <c r="J25" i="4"/>
  <c r="I31" i="4"/>
  <c r="I84" i="4"/>
  <c r="J34" i="4"/>
  <c r="J67" i="4"/>
  <c r="I53" i="4"/>
  <c r="I104" i="4"/>
  <c r="J93" i="4"/>
  <c r="J105" i="4"/>
  <c r="J65" i="4"/>
  <c r="I63" i="4"/>
  <c r="J89" i="4"/>
  <c r="I96" i="4"/>
  <c r="J21" i="4"/>
  <c r="I25" i="4"/>
  <c r="J33" i="4"/>
  <c r="J70" i="4"/>
  <c r="J19" i="4"/>
  <c r="I83" i="4"/>
  <c r="J68" i="4"/>
  <c r="J80" i="4"/>
  <c r="J47" i="4"/>
  <c r="I26" i="4"/>
  <c r="I90" i="4"/>
  <c r="J104" i="4"/>
  <c r="J86" i="4"/>
  <c r="J88" i="4"/>
  <c r="I80" i="4"/>
  <c r="I50" i="4"/>
  <c r="J58" i="4"/>
  <c r="J61" i="4"/>
  <c r="I67" i="4"/>
  <c r="J46" i="4"/>
  <c r="J83" i="4"/>
  <c r="J49" i="4"/>
  <c r="J98" i="4"/>
  <c r="J100" i="4"/>
  <c r="J91" i="4"/>
  <c r="I55" i="4"/>
  <c r="I92" i="4"/>
  <c r="I22" i="4"/>
  <c r="I59" i="4"/>
  <c r="I62" i="4"/>
  <c r="I16" i="4"/>
  <c r="I65" i="4"/>
  <c r="J39" i="4"/>
  <c r="I40" i="4"/>
  <c r="M24" i="6"/>
  <c r="M37" i="6"/>
  <c r="M35" i="6"/>
  <c r="M23" i="6"/>
  <c r="M26" i="6"/>
  <c r="M6" i="6"/>
  <c r="D3" i="14"/>
  <c r="M19" i="6"/>
  <c r="M8" i="6"/>
  <c r="M9" i="6"/>
  <c r="A6" i="4"/>
  <c r="M34" i="6"/>
  <c r="S46" i="6"/>
  <c r="AN47" i="6"/>
  <c r="M28" i="6"/>
  <c r="M14" i="6"/>
  <c r="AN48" i="6"/>
  <c r="I6" i="4"/>
  <c r="D4" i="14"/>
  <c r="AN46" i="6"/>
  <c r="M11" i="6"/>
  <c r="M31" i="6"/>
  <c r="M20" i="6"/>
  <c r="M18" i="6"/>
  <c r="M27" i="6"/>
  <c r="M10" i="6"/>
  <c r="M32" i="6"/>
  <c r="M22" i="6"/>
  <c r="E3" i="14"/>
  <c r="V46" i="6"/>
  <c r="E5" i="14"/>
  <c r="E4" i="14"/>
  <c r="A6" i="6"/>
  <c r="AN45" i="6"/>
  <c r="M38" i="6"/>
  <c r="M29" i="6"/>
  <c r="AN49" i="6"/>
  <c r="M16" i="6"/>
  <c r="U46" i="6"/>
  <c r="M12" i="6"/>
  <c r="M13" i="6"/>
  <c r="T46" i="6"/>
  <c r="M15" i="6"/>
  <c r="M36" i="6"/>
  <c r="D5" i="14"/>
  <c r="M25" i="6"/>
  <c r="M17" i="6"/>
  <c r="M7" i="6"/>
  <c r="M30" i="6"/>
  <c r="R46" i="6"/>
  <c r="M33" i="6"/>
  <c r="J6" i="4"/>
  <c r="M21" i="6"/>
  <c r="AS33" i="6" l="1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N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6" i="6"/>
  <c r="X6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D2" i="14"/>
  <c r="E2" i="14"/>
  <c r="G8" i="26"/>
  <c r="G7" i="26"/>
  <c r="B8" i="26"/>
  <c r="B5" i="26"/>
  <c r="B7" i="26"/>
  <c r="B6" i="26"/>
  <c r="AN31" i="6" l="1"/>
  <c r="W26" i="6"/>
  <c r="X26" i="6" s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W28" i="6" s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W30" i="6"/>
  <c r="X30" i="6" s="1"/>
  <c r="W31" i="6"/>
  <c r="X31" i="6" s="1"/>
  <c r="X28" i="6"/>
  <c r="C7" i="26"/>
  <c r="Y6" i="6" l="1"/>
  <c r="Z6" i="6" l="1"/>
  <c r="AA6" i="6" l="1"/>
  <c r="AC12" i="6" s="1"/>
  <c r="AC6" i="6" l="1"/>
  <c r="AC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  <author>文杰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O6" authorId="1" shapeId="0" xr:uid="{0918647E-79EC-4633-A3D9-8C2100D64D5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Q13" authorId="2" shapeId="0" xr:uid="{2BCF0C9D-2279-4516-B9A5-D0EB77AD3E0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U16" authorId="2" shapeId="0" xr:uid="{2911A302-1DB7-4552-9800-D839EE4419E1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V26" authorId="2" shapeId="0" xr:uid="{BB2D8BCF-0AB2-447C-8030-2076F61D0718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F29" authorId="2" shapeId="0" xr:uid="{05C95ACA-CA78-4A61-BB15-B2E61CFF4CF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<sst xmlns="http://schemas.openxmlformats.org/spreadsheetml/2006/main" count="692" uniqueCount="423">
  <si>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</si>
  <si>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</si>
  <si>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</si>
  <si>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</si>
  <si>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</si>
  <si>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</si>
  <si>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</si>
  <si>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</si>
  <si>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</si>
  <si>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</si>
  <si>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</si>
  <si>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</si>
  <si>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</si>
  <si>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</si>
  <si>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</si>
  <si>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</si>
  <si>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</si>
  <si>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</si>
  <si>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</si>
  <si>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</si>
  <si>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</si>
  <si>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</si>
  <si>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</si>
  <si>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</si>
  <si>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</si>
  <si>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</si>
  <si>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</si>
  <si>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</si>
  <si>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</si>
  <si>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</si>
  <si>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</si>
  <si>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</si>
  <si>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</si>
  <si>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</si>
  <si>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</si>
  <si>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</si>
  <si>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</si>
  <si>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</si>
  <si>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</si>
  <si>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</si>
  <si>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</si>
  <si>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</si>
  <si>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</si>
  <si>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</si>
  <si>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</si>
  <si>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</si>
  <si>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</si>
  <si>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</si>
  <si>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</si>
  <si>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</si>
  <si>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</si>
  <si>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</si>
  <si>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</si>
  <si>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</si>
  <si>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</si>
  <si>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</si>
  <si>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</si>
  <si>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</si>
  <si>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</si>
  <si>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</si>
  <si>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</si>
  <si>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</si>
  <si>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</si>
  <si>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</si>
  <si>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</si>
  <si>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</si>
  <si>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</si>
  <si>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</si>
  <si>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</si>
  <si>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</si>
  <si>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</si>
  <si>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</si>
  <si>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</si>
  <si>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</si>
  <si>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</si>
  <si>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</si>
  <si>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</si>
  <si>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</si>
  <si>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</si>
  <si>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</si>
  <si>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</si>
  <si>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</si>
  <si>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</si>
  <si>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</si>
  <si>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</si>
  <si>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</si>
  <si>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</si>
  <si>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</si>
  <si>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</si>
  <si>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</si>
  <si>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</si>
  <si>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</si>
  <si>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</si>
  <si>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</si>
  <si>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</si>
  <si>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</si>
  <si>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</si>
  <si>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</si>
  <si>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</si>
  <si>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</si>
  <si>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</si>
  <si>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</si>
  <si>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</si>
  <si>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</si>
  <si>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</si>
  <si>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</si>
  <si>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</si>
  <si>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</si>
  <si>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</si>
  <si>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</si>
  <si>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</si>
  <si>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</si>
  <si>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</si>
  <si>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</si>
  <si>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</si>
  <si>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</si>
  <si>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</si>
  <si>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</si>
  <si>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</si>
  <si>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</si>
  <si>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</si>
  <si>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</si>
  <si>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</si>
  <si>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</si>
  <si>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</si>
  <si>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</si>
  <si>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</si>
  <si>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</si>
  <si>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</si>
  <si>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</si>
  <si>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</si>
  <si>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</si>
  <si>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</si>
  <si>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</si>
  <si>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</si>
  <si>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</si>
  <si>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</si>
  <si>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</si>
  <si>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</si>
  <si>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</si>
  <si>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</si>
  <si>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</si>
  <si>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</si>
  <si>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</si>
  <si>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</si>
  <si>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</si>
  <si>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</si>
  <si>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</si>
  <si>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</si>
  <si>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</si>
  <si>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</si>
  <si>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</si>
  <si>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</si>
  <si>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</si>
  <si>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</si>
  <si>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</si>
  <si>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</si>
  <si>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</si>
  <si>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</si>
  <si>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</si>
  <si>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</si>
  <si>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</si>
  <si>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</si>
  <si>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</si>
  <si>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</si>
  <si>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</si>
  <si>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</si>
  <si>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</si>
  <si>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</si>
  <si>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</si>
  <si>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</si>
  <si>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</si>
  <si>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</si>
  <si>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</si>
  <si>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</si>
  <si>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</si>
  <si>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</si>
  <si>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</si>
  <si>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</si>
  <si>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</si>
  <si>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</si>
  <si>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</si>
  <si>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</si>
  <si>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</si>
  <si>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</si>
  <si>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</si>
  <si>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</si>
  <si>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</si>
  <si>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</si>
  <si>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</si>
  <si>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</si>
  <si>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</si>
  <si>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</si>
  <si>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</si>
  <si>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</si>
  <si>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</si>
  <si>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</si>
  <si>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</si>
  <si>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</si>
  <si>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</si>
  <si>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</si>
  <si>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</si>
  <si>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</si>
  <si>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</si>
  <si>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</si>
  <si>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</si>
  <si>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</si>
  <si>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</si>
  <si>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</si>
  <si>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</si>
  <si>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</si>
  <si>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</si>
  <si>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</si>
  <si>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</si>
  <si>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</si>
  <si>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</si>
  <si>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</si>
  <si>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</si>
  <si>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</si>
  <si>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</si>
  <si>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</si>
  <si>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</si>
  <si>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</si>
  <si>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</si>
  <si>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</si>
  <si>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</si>
  <si>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</si>
  <si>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</si>
  <si>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</si>
  <si>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</si>
  <si>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</si>
  <si>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</si>
  <si>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</si>
  <si>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</si>
  <si>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</si>
  <si>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</si>
  <si>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</si>
  <si>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</si>
  <si>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</si>
  <si>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</si>
  <si>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</si>
  <si>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</si>
  <si>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</si>
  <si>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</si>
  <si>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</si>
  <si>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</si>
  <si>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</si>
  <si>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</si>
  <si>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</si>
  <si>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</si>
  <si>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</si>
  <si>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</si>
  <si>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</si>
  <si>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</si>
  <si>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</si>
  <si>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</si>
  <si>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</si>
  <si>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</si>
  <si>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</si>
  <si>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</si>
  <si>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</si>
  <si>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</si>
  <si>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</si>
  <si>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</si>
  <si>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</si>
  <si>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</si>
  <si>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</si>
  <si>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</si>
  <si>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</si>
  <si>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</si>
  <si>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</si>
  <si>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</si>
  <si>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</si>
  <si>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</si>
  <si>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</si>
  <si>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</si>
  <si>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</si>
  <si>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</si>
  <si>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</si>
  <si>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</si>
  <si>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</si>
  <si>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</si>
  <si>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</si>
  <si>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</si>
  <si>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</si>
  <si>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</si>
  <si>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</si>
  <si>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</si>
  <si>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</si>
  <si>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</si>
  <si>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</si>
  <si>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</si>
  <si>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</si>
  <si>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</si>
  <si>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</si>
  <si>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</si>
  <si>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</si>
  <si>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</si>
  <si>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</si>
  <si>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</si>
  <si>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</si>
  <si>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</si>
  <si>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</si>
  <si>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</si>
  <si>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</si>
  <si>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</si>
  <si>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</si>
  <si>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</si>
  <si>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</si>
  <si>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</si>
  <si>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</si>
  <si>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</si>
  <si>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</si>
  <si>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</si>
  <si>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</si>
  <si>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</si>
  <si>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</si>
  <si>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</si>
  <si>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</si>
  <si>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</si>
  <si>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</si>
  <si>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0241.HK</t>
  </si>
  <si>
    <t>20240717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</si>
  <si>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</si>
  <si>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</si>
  <si>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</si>
  <si>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</si>
  <si>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</si>
  <si>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</si>
  <si>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</si>
  <si>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</si>
  <si>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000625.SZ</t>
  </si>
  <si>
    <t>简称</t>
  </si>
  <si>
    <t>长安汽车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</si>
  <si>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</si>
  <si>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</si>
  <si>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</si>
  <si>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</si>
  <si>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</si>
  <si>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</si>
  <si>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</si>
  <si>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</si>
  <si>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</si>
  <si>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</si>
  <si>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</si>
  <si>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</si>
  <si>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</si>
  <si>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</si>
  <si>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</si>
  <si>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</si>
  <si>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</si>
  <si>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</si>
  <si>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</si>
  <si>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</si>
  <si>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</si>
  <si>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</si>
  <si>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</si>
  <si>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</si>
  <si>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</si>
  <si>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</si>
  <si>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</si>
  <si>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</si>
  <si>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</si>
  <si>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</si>
  <si>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</si>
  <si>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</si>
  <si>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</si>
  <si>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</si>
  <si>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</si>
  <si>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</si>
  <si>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</si>
  <si>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</si>
  <si>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</si>
  <si>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</si>
  <si>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</si>
  <si>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</si>
  <si>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</si>
  <si>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</si>
  <si>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</si>
  <si>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䀗ᜀ@䀗ᜀ@䀗ᜀ@䀗ᜀ@䀗ᜀ@䀗ᜀ@䀗ᜀ@䀗ᜀ@䀗ᜀ@䀗ᜀ@䀗ᜀ@䀗ᜀ@䀗ᜀ@䀗ᜀ@䀗ᜀ@䀗ᜀ@䀗ᜀ@䀗ᜀ@䀗ᜀ@䀗ᜀ@䀗ᜀ@䀗</t>
  </si>
  <si>
    <t>䄗ᜀA䄗ᜀA䄗ᜀA䄗ᜀA䄗ᜀA䄗ᜀA䄗ᜀA䄗ᜀA䄗ᜀA䄗ᜀA䄗ᜀA䄗ᜀA䄗ᜀA䄗ᜀA䄗ᜀA䄗ᜀA䄗ᜀAع䀀디_x0001_␀F_x0000_쀁Ĥ_x0000_ԀḀ_x0001_</t>
  </si>
  <si>
    <t>䀗ᜀ@䀗ᜀ@䀗ᜀ@䀗ᜀ@䀗ᜀ@䀗ᜀ@䀗ᜀ@䀗ᜀ@䀗ᜀ@䀗ᜀ@䀗ᜀ@䀗ᜀ@䀗ᜀ@䀗ᜀ@䀗ᜀ@䀗ᜀ@䀗ᜀ@ع瀀숴_x0001_␀F_x0000_쀁Ĥ_x0000_ԀḀ</t>
  </si>
  <si>
    <t>㼗ᜀ?㼗ᜀ?㼗ᜀ?㼗ᜀ?㼗ᜀ?㼗ᜀ?㼗ᜀ?㼗ᜀ?㼗ᜀ?㼗ᜀ?㼗ᜀ?㼗ᜀ?㼗ᜀ?㼗ᜀ?㼗ᜀ?㼗ᜀ?㼗ᜀ?㼗ᜀ?㼗ᜀ?㼗ᜀ?㼗ᜀ?</t>
  </si>
  <si>
    <t>阿里健康</t>
  </si>
  <si>
    <t>䄗ᜀA䄗ᜀA䄗ᜀA䄗ᜀA䄗ᜀA䄗ᜀA䄗ᜀA䄗ᜀA䄗ᜀA䄗ᜀA䄗ᜀA䄗ᜀA䄗ᜀA䄗ᜀA䄗ᜀA䄗ᜀA䄗㤀_x0004_붐韯ǹ_x0000_䜤_x0000_ĀⓀ_x0001__x0000__x0005_Ğ∀＄</t>
  </si>
  <si>
    <t>䀗ᜀ@䀗ᜀ@䀗ᜀ@䀗ᜀ@䀗ᜀ@䀗ᜀ@䀗ᜀ@䀗ᜀ@䀗ᜀ@䀗ᜀ@䀗ᜀ@䀗ᜀ@䀗ᜀ@䀗ᜀ@䀗ᜀ@䀗ᜀ@䀗㤀_x0004_뺰韯ǹ_x0000_䜤_x0000_ĀⓀ_x0001__x0000__x0005_Ğ∀</t>
  </si>
  <si>
    <t>前10</t>
    <phoneticPr fontId="1" type="noConversion"/>
  </si>
  <si>
    <t>港&amp;美</t>
    <phoneticPr fontId="1" type="noConversion"/>
  </si>
  <si>
    <t>䄗ᜀA䄗ᜀA䄗ᜀA䄗ᜀA䄗ᜀA䄗ᜀA䄗ᜀA䄗ᜀA䄗ᜀA䄗ᜀA䄗ᜀA䄗ᜀA䄗ᜀA䄗ᜀA䄗ᜀA䄗ᜀAй怀譥ꯀ_x0002_␀H_x0000_쀁Ĥ_x0000_ԀḀ_x0001_Тÿ慁</t>
  </si>
  <si>
    <t>䀗ᜀ@䀗ᜀ@䀗ᜀ@䀗ᜀ@䀗ᜀ@䀗ᜀ@䀗ᜀ@䀗ᜀ@䀗ᜀ@䀗ᜀ@䀗ᜀ@䀗ᜀ@䀗ᜀ@䀗ᜀ@䀗ᜀ@䀗ᜀ@й_x0000_譽ꯀ_x0002_␀H_x0000_쀁Ĥ_x0000_ԀḀ_x0001_Тÿ</t>
  </si>
  <si>
    <t>䄗ᜀA䄗ᜀA䄗ᜀA䄗ᜀA䄗ᜀA䄗ᜀA䄗ᜀA䄗ᜀA䄗ᜀA䄗ᜀA䄗ᜀA䄗ᜀA䄗ᜀA䄗ᜀA䄗ᜀA䄗㤀_x0004_釐溷Ň_x0000_䤤_x0000_ĀⓀ_x0001__x0000__x0005_Ğ∀＄䄀ɡȂ</t>
  </si>
  <si>
    <t>䄗ᜀA䄗ᜀA䄗ᜀA䄗ᜀA䄗ᜀA䄗ᜀA䄗ᜀA䄗ᜀA䄗ᜀA䄗ᜀA䄗ᜀA䄗ᜀA䄗ᜀA䄗ᜀA䄗ᜀA䄗ᜀA䄗ᜀA䄗ᜀA䄗ᜀA䄗ᜀA䄗ᜀA䄗ᜀ</t>
  </si>
  <si>
    <t>䀗ᜀ@䀗ᜀ@䀗ᜀ@䀗ᜀ@䀗ᜀ@䀗ᜀ@䀗ᜀ@䀗ᜀ@䀗ᜀ@䀗ᜀ@䀗ᜀ@䀗ᜀ@䀗ᜀ@䀗ᜀ@䀗ᜀ@䀗㤀_x0004_ꡐ溷Ň_x0000_䤤_x0000_ĀⓀ_x0001__x0000__x0005_Ğ∀＄䄀ɡ</t>
  </si>
  <si>
    <t>䄗ᜀA䄗ᜀA䄗ᜀA䄗ᜀA䄗ᜀA䄗ᜀA䄗ᜀA䄗ᜀA䄗ᜀA䄗ᜀA䄗ᜀA䄗ᜀA䄗ᜀA䄗ᜀA䄗ᜀAй뀀ڣ욹_x0001_␀J_x0000_쀁Ĥ_x0000_ԀḀ_x0001_Тÿ慁Ȃ_x0002_r</t>
  </si>
  <si>
    <t>䀗ᜀ@䀗ᜀ@䀗ᜀ@䀗ᜀ@䀗ᜀ@䀗ᜀ@䀗ᜀ@䀗ᜀ@䀗ᜀ@䀗ᜀ@䀗ᜀ@䀗ᜀ@䀗ᜀ@䀗ᜀ@䀗ᜀ@йړ욹_x0001_␀J_x0000_쀁Ĥ_x0000_ԀḀ_x0001_Тÿ慁Ȃ_x0002_</t>
  </si>
  <si>
    <t>7.19总</t>
    <phoneticPr fontId="1" type="noConversion"/>
  </si>
  <si>
    <t>䄗ᜀA䄗ᜀA䄗ᜀA䄗ᜀA䄗ᜀA䄗ᜀA䄗ᜀA䄗ᜀA䄗ᜀA䄗ᜀA䄗ᜀA䄗ᜀA䄗ᜀA䄗ᜀA䄗㤀_x0004_岀늭Ȋ_x0000_䬤_x0000_ĀⓀ_x0001__x0000__x0005_Ğ∀＄䄀ɡȂ爀漀眀</t>
  </si>
  <si>
    <t>䀗ᜀ@䀗ᜀ@䀗ᜀ@䀗ᜀ@䀗ᜀ@䀗ᜀ@䀗ᜀ@䀗ᜀ@䀗ᜀ@䀗ᜀ@䀗ᜀ@䀗ᜀ@䀗ᜀ@䀗ᜀ@䀗㤀_x0004_䆀늭Ȋ_x0000_䬤_x0000_ĀⓀ_x0001__x0000__x0005_Ğ∀＄䄀ɡȂ爀漀</t>
  </si>
  <si>
    <t>人民币！！</t>
    <phoneticPr fontId="1" type="noConversion"/>
  </si>
  <si>
    <t>9988.HK</t>
    <phoneticPr fontId="1" type="noConversion"/>
  </si>
  <si>
    <t>9888.HK</t>
    <phoneticPr fontId="1" type="noConversion"/>
  </si>
  <si>
    <t>9618.HK</t>
    <phoneticPr fontId="1" type="noConversion"/>
  </si>
  <si>
    <t>9999.HK</t>
    <phoneticPr fontId="1" type="noConversion"/>
  </si>
  <si>
    <t>BILI.O</t>
  </si>
  <si>
    <t>BIDU.O</t>
  </si>
  <si>
    <t>JD.O</t>
  </si>
  <si>
    <t>NTES.O</t>
  </si>
  <si>
    <t>总市值
[单位]亿元</t>
  </si>
  <si>
    <t>val_mv_ARD</t>
  </si>
  <si>
    <t>BOSS直聘</t>
    <phoneticPr fontId="1" type="noConversion"/>
  </si>
  <si>
    <t>䄗ᜀA䄗ᜀA䄗ᜀA䄗ᜀA䄗ᜀA䄗ᜀA䄗ᜀA䄗ᜀA䄗ᜀA䄗ᜀA䄗ᜀA䄗ᜀA䄗ᜀA䄗ᜀAй耀湴ⷰ_x0001_␀L_x0000_쀁Ĥ_x0000_ԀḀ_x0001_Тÿ慁Ȃ_x0002_rows</t>
  </si>
  <si>
    <t>䀗ᜀ@䀗ᜀ@䀗ᜀ@䀗ᜀ@䀗ᜀ@䀗ᜀ@䀗ᜀ@䀗ᜀ@䀗ᜀ@䀗ᜀ@䀗ᜀ@䀗ᜀ@䀗ᜀ@䀗ᜀ@йက湵ⷰ_x0001_␀L_x0000_쀁Ĥ_x0000_ԀḀ_x0001_Тÿ慁Ȃ_x0002_row</t>
  </si>
  <si>
    <t>误差</t>
    <phoneticPr fontId="1" type="noConversion"/>
  </si>
  <si>
    <t>䄗ᜀA䄗ᜀA䄗ᜀA䄗ᜀA䄗ᜀA䄗ᜀA䄗ᜀA䄗ᜀA䄗ᜀA䄗ᜀA䄗ᜀA䄗ᜀA䄗ᜀA䄗㤀_x0004_Ⳡᤸʡ_x0000_䴤_x0000_ĀⓀ_x0001__x0000__x0005_Ğ∀＄䄀ɡȂ爀漀眀猀攀尀</t>
  </si>
  <si>
    <t>䀗ᜀ@䀗ᜀ@䀗ᜀ@䀗ᜀ@䀗ᜀ@䀗ᜀ@䀗ᜀ@䀗ᜀ@䀗ᜀ@䀗ᜀ@䀗ᜀ@䀗ᜀ@䀗ᜀ@䀗㤀_x0004_ㅠᤸʡ_x0000_䴤_x0000_ĀⓀ_x0001__x0000__x0005_Ğ∀＄䄀ɡȂ爀漀眀猀攀</t>
  </si>
  <si>
    <t>实际净值</t>
    <phoneticPr fontId="1" type="noConversion"/>
  </si>
  <si>
    <t>净值</t>
    <phoneticPr fontId="1" type="noConversion"/>
  </si>
  <si>
    <t>折溢价</t>
    <phoneticPr fontId="1" type="noConversion"/>
  </si>
  <si>
    <t>䀗ᜀ@䀗ᜀ@䀗ᜀ@䀗ᜀ@䀗ᜀ@䀗ᜀ@䀗ᜀ@䀗ᜀ@䀗ᜀ@䀗ᜀ@䀗ᜀ@䀗ᜀ@䀗ᜀ@й怀⋇ￚ_x0001_␀N_x0000_쀁Ĥ_x0000_ԀḀ_x0001_Тÿ慁Ȃ_x0002_rowse\</t>
  </si>
  <si>
    <t>䄗ᜀA䄗ᜀA䄗ᜀA䄗ᜀA䄗ᜀA䄗ᜀA䄗ᜀA䄗ᜀA䄗ᜀA䄗ᜀA䄗ᜀA䄗ᜀA䄗ᜀAй ⋅ￚ_x0001_␀N_x0000_쀁Ĥ_x0000_ԀḀ_x0001_Тÿ慁Ȃ_x0002_rowse\X</t>
  </si>
  <si>
    <t>T-1总</t>
    <phoneticPr fontId="1" type="noConversion"/>
  </si>
  <si>
    <t>2024-07-22</t>
    <phoneticPr fontId="4" type="noConversion"/>
  </si>
  <si>
    <t>2,418,659.94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</si>
</sst>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0%"/>
    <numFmt numFmtId="190" formatCode="0.0000000%"/>
    <numFmt numFmtId="191" formatCode="0.00000000%"/>
    <numFmt numFmtId="192" formatCode="0.000000000000%"/>
  </numFmts>
  <fonts count="22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0"/>
      <name val="宋体"/>
      <family val="2"/>
      <charset val="134"/>
    </font>
    <font>
      <sz val="7"/>
      <color rgb="FF333333"/>
      <name val="Arial"/>
      <family val="2"/>
    </font>
    <font>
      <sz val="7"/>
      <color rgb="FFE260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5" xfId="0" applyFont="1" applyBorder="1">
      <alignment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190" fontId="8" fillId="0" borderId="6" xfId="1" applyNumberFormat="1" applyFont="1" applyBorder="1">
      <alignment vertical="center"/>
    </xf>
    <xf numFmtId="189" fontId="8" fillId="0" borderId="0" xfId="1" applyNumberFormat="1" applyFont="1">
      <alignment vertical="center"/>
    </xf>
    <xf numFmtId="176" fontId="8" fillId="0" borderId="0" xfId="0" applyNumberFormat="1" applyFont="1">
      <alignment vertical="center"/>
    </xf>
    <xf numFmtId="0" fontId="8" fillId="3" borderId="0" xfId="0" applyFont="1" applyFill="1">
      <alignment vertical="center"/>
    </xf>
    <xf numFmtId="0" fontId="8" fillId="7" borderId="0" xfId="0" applyFont="1" applyFill="1" applyAlignment="1">
      <alignment horizontal="right" vertical="center"/>
    </xf>
    <xf numFmtId="0" fontId="8" fillId="8" borderId="0" xfId="0" applyFont="1" applyFill="1">
      <alignment vertical="center"/>
    </xf>
    <xf numFmtId="49" fontId="0" fillId="8" borderId="0" xfId="0" applyNumberFormat="1" applyFill="1" applyAlignment="1">
      <alignment horizontal="right" vertical="center"/>
    </xf>
    <xf numFmtId="183" fontId="19" fillId="9" borderId="0" xfId="0" applyNumberFormat="1" applyFont="1" applyFill="1" applyAlignment="1">
      <alignment horizontal="right" vertical="center"/>
    </xf>
    <xf numFmtId="188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8" fillId="10" borderId="0" xfId="0" applyFont="1" applyFill="1">
      <alignment vertical="center"/>
    </xf>
    <xf numFmtId="0" fontId="8" fillId="0" borderId="0" xfId="0" applyFont="1" applyAlignment="1">
      <alignment horizontal="right" vertical="center" wrapText="1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187" fontId="8" fillId="3" borderId="0" xfId="0" applyNumberFormat="1" applyFont="1" applyFill="1" applyAlignment="1">
      <alignment horizontal="right" vertical="center"/>
    </xf>
    <xf numFmtId="177" fontId="8" fillId="3" borderId="0" xfId="0" applyNumberFormat="1" applyFont="1" applyFill="1">
      <alignment vertical="center"/>
    </xf>
    <xf numFmtId="0" fontId="20" fillId="0" borderId="0" xfId="0" applyFont="1">
      <alignment vertical="center"/>
    </xf>
    <xf numFmtId="191" fontId="8" fillId="0" borderId="0" xfId="1" applyNumberFormat="1" applyFont="1">
      <alignment vertical="center"/>
    </xf>
    <xf numFmtId="192" fontId="8" fillId="0" borderId="0" xfId="0" applyNumberFormat="1" applyFont="1">
      <alignment vertical="center"/>
    </xf>
    <xf numFmtId="177" fontId="8" fillId="0" borderId="0" xfId="1" applyNumberFormat="1" applyFont="1" applyAlignment="1">
      <alignment horizontal="right" vertical="center"/>
    </xf>
    <xf numFmtId="0" fontId="8" fillId="0" borderId="0" xfId="0" applyNumberFormat="1" applyFont="1">
      <alignment vertical="center"/>
    </xf>
    <xf numFmtId="0" fontId="8" fillId="11" borderId="0" xfId="0" applyFont="1" applyFill="1">
      <alignment vertical="center"/>
    </xf>
    <xf numFmtId="177" fontId="8" fillId="0" borderId="4" xfId="0" applyNumberFormat="1" applyFont="1" applyBorder="1">
      <alignment vertical="center"/>
    </xf>
    <xf numFmtId="0" fontId="21" fillId="0" borderId="0" xfId="0" applyFont="1">
      <alignment vertical="center"/>
    </xf>
    <xf numFmtId="4" fontId="21" fillId="0" borderId="0" xfId="0" applyNumberFormat="1" applyFont="1">
      <alignment vertical="center"/>
    </xf>
    <xf numFmtId="10" fontId="8" fillId="0" borderId="6" xfId="1" applyNumberFormat="1" applyFont="1" applyBorder="1">
      <alignment vertical="center"/>
    </xf>
  </cellXfs>
  <cellStyles count="2">
    <cellStyle name="百分比" xfId="1" builtinId="5"/>
    <cellStyle name="常规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  <color rgb="FF66CCFF"/>
      <color rgb="FFFFFF66"/>
      <color rgb="FFCCFF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0.93140000000000001</v>
        <stp/>
        <stp>HKDCNY.IB</stp>
        <stp>Rt_Price</stp>
        <tr r="C2" s="26"/>
      </tp>
      <tp>
        <v>7.2730000000000006</v>
        <stp/>
        <stp>USDCNY.IB</stp>
        <stp>Rt_Price</stp>
        <tr r="B2" s="26"/>
      </tp>
      <tp>
        <v>1.4590000000000001</v>
        <stp/>
        <stp>513100.SH</stp>
        <stp>Ask_Price1</stp>
        <tr r="B7" s="26"/>
      </tp>
      <tp>
        <v>1.052</v>
        <stp/>
        <stp>513050.SH</stp>
        <stp>Ask_Price1</stp>
        <tr r="B5" s="26"/>
      </tp>
      <tp>
        <v>1.458</v>
        <stp/>
        <stp>513100.SH</stp>
        <stp>Bid_Price1</stp>
        <tr r="B8" s="26"/>
      </tp>
      <tp>
        <v>1.0509999999999999</v>
        <stp/>
        <stp>513050.SH</stp>
        <stp>Bid_Price1</stp>
        <tr r="B6" s="26"/>
      </tp>
      <tp>
        <v>7.8082849999999997</v>
        <stp/>
        <stp>USDHKD.IB</stp>
        <stp>rt_last</stp>
        <stp>RT_Price</stp>
        <tr r="AG7" s="6"/>
      </tp>
      <tp>
        <v>0.93140000000000001</v>
        <stp/>
        <stp>HKDCNY.IB</stp>
        <stp>rt_last</stp>
        <stp>RT_Price</stp>
        <tr r="AE7" s="6"/>
      </tp>
      <tp>
        <v>7.2730000000000006</v>
        <stp/>
        <stp>USDCNY.IB</stp>
        <stp>rt_last</stp>
        <stp>RT_Price</stp>
        <tr r="AF7" s="6"/>
      </tp>
      <tp>
        <v>7.65</v>
        <stp/>
        <stp>WB.O</stp>
        <stp>rt_last</stp>
        <stp>RT_Price</stp>
        <tr r="AI7" s="6"/>
      </tp>
      <tp>
        <v>75.27</v>
        <stp/>
        <stp>BABA.N</stp>
        <stp>rt_last</stp>
        <stp>RT_Price</stp>
        <tr r="AQ3" s="6"/>
      </tp>
      <tp>
        <v>49.300000000000004</v>
        <stp/>
        <stp>2518.HK</stp>
        <stp>rt_last</stp>
        <stp>RT_Price</stp>
        <tr r="AN28" s="6"/>
      </tp>
      <tp>
        <v>37.15</v>
        <stp/>
        <stp>2423.HK</stp>
        <stp>rt_last</stp>
        <stp>RT_Price</stp>
        <tr r="AO28" s="6"/>
      </tp>
      <tp>
        <v>26.25</v>
        <stp/>
        <stp>0772.HK</stp>
        <stp>rt_last</stp>
        <stp>RT_Price</stp>
        <tr r="V8" s="6"/>
      </tp>
      <tp>
        <v>374.40000000000003</v>
        <stp/>
        <stp>0700.HK</stp>
        <stp>rt_last</stp>
        <stp>RT_Price</stp>
        <tr r="V7" s="6"/>
      </tp>
      <tp>
        <v>11.96</v>
        <stp/>
        <stp>1797.HK</stp>
        <stp>rt_last</stp>
        <stp>RT_Price</stp>
        <tr r="V11" s="6"/>
      </tp>
      <tp>
        <v>13.780000000000001</v>
        <stp/>
        <stp>0780.HK</stp>
        <stp>rt_last</stp>
        <stp>RT_Price</stp>
        <tr r="V9" s="6"/>
      </tp>
      <tp>
        <v>75.45</v>
        <stp/>
        <stp>3660.HK</stp>
        <stp>rt_last</stp>
        <stp>RT_Price</stp>
        <tr r="AQ28" s="6"/>
      </tp>
      <tp>
        <v>104.2</v>
        <stp/>
        <stp>9618.HK</stp>
        <stp>rt_last</stp>
        <stp>RT_Price</stp>
        <tr r="V18" s="6"/>
        <tr r="AV28" s="6"/>
      </tp>
      <tp>
        <v>20.900000000000002</v>
        <stp/>
        <stp>6618.HK</stp>
        <stp>rt_last</stp>
        <stp>RT_Price</stp>
        <tr r="V17" s="6"/>
      </tp>
      <tp>
        <v>119.7</v>
        <stp/>
        <stp>9626.HK</stp>
        <stp>rt_last</stp>
        <stp>RT_Price</stp>
        <tr r="V19" s="6"/>
        <tr r="AP28" s="6"/>
      </tp>
      <tp>
        <v>120.2</v>
        <stp/>
        <stp>3690.HK</stp>
        <stp>rt_last</stp>
        <stp>RT_Price</stp>
        <tr r="V14" s="6"/>
      </tp>
      <tp>
        <v>55.75</v>
        <stp/>
        <stp>1698.HK</stp>
        <stp>rt_last</stp>
        <stp>RT_Price</stp>
        <tr r="AR28" s="6"/>
      </tp>
      <tp>
        <v>15.620000000000001</v>
        <stp/>
        <stp>000625.SZ</stp>
        <stp>rt_last</stp>
        <stp>RT_Price</stp>
        <tr r="AK7" s="6"/>
      </tp>
      <tp>
        <v>12.780000000000001</v>
        <stp/>
        <stp>6060.HK</stp>
        <stp>rt_last</stp>
        <stp>RT_Price</stp>
        <tr r="V16" s="6"/>
      </tp>
      <tp>
        <v>45.35</v>
        <stp/>
        <stp>1024.HK</stp>
        <stp>rt_last</stp>
        <stp>RT_Price</stp>
        <tr r="AJ7" s="6"/>
        <tr r="V10" s="6"/>
      </tp>
      <tp>
        <v>1.052</v>
        <stp/>
        <stp>513050.SH</stp>
        <stp>rt_last</stp>
        <stp>RT_Price</stp>
        <tr r="AB6" s="6"/>
        <tr r="AB9" s="6"/>
      </tp>
      <tp>
        <v>3.33</v>
        <stp/>
        <stp>0241.HK</stp>
        <stp>rt_last</stp>
        <stp>RT_Price</stp>
        <tr r="V6" s="6"/>
        <tr r="W61" s="6"/>
      </tp>
      <tp>
        <v>359</v>
        <stp/>
        <stp>9961.HK</stp>
        <stp>rt_last</stp>
        <stp>RT_Price</stp>
        <tr r="V23" s="6"/>
      </tp>
      <tp>
        <v>144.1</v>
        <stp/>
        <stp>9999.HK</stp>
        <stp>rt_last</stp>
        <stp>RT_Price</stp>
        <tr r="V25" s="6"/>
        <tr r="AW28" s="6"/>
      </tp>
      <tp>
        <v>74.650000000000006</v>
        <stp/>
        <stp>9988.HK</stp>
        <stp>rt_last</stp>
        <stp>RT_Price</stp>
        <tr r="AO4" s="6"/>
        <tr r="V24" s="6"/>
        <tr r="AT28" s="6"/>
      </tp>
      <tp>
        <v>17.18</v>
        <stp/>
        <stp>1810.HK</stp>
        <stp>rt_last</stp>
        <stp>RT_Price</stp>
        <tr r="V12" s="6"/>
      </tp>
      <tp>
        <v>11.28</v>
        <stp/>
        <stp>1833.HK</stp>
        <stp>rt_last</stp>
        <stp>RT_Price</stp>
        <tr r="V13" s="6"/>
      </tp>
      <tp>
        <v>12.4</v>
        <stp/>
        <stp>9890.HK</stp>
        <stp>rt_last</stp>
        <stp>RT_Price</stp>
        <tr r="V22" s="6"/>
      </tp>
      <tp>
        <v>61.25</v>
        <stp/>
        <stp>9898.HK</stp>
        <stp>rt_last</stp>
        <stp>RT_Price</stp>
        <tr r="AS28" s="6"/>
      </tp>
      <tp>
        <v>7.9</v>
        <stp/>
        <stp>9885.HK</stp>
        <stp>rt_last</stp>
        <stp>RT_Price</stp>
        <tr r="V20" s="6"/>
      </tp>
      <tp>
        <v>89.4</v>
        <stp/>
        <stp>9888.HK</stp>
        <stp>rt_last</stp>
        <stp>RT_Price</stp>
        <tr r="AU28" s="6"/>
        <tr r="V21" s="6"/>
      </tp>
      <tp>
        <v>22.6</v>
        <stp/>
        <stp>3888.HK</stp>
        <stp>rt_last</stp>
        <stp>RT_Price</stp>
        <tr r="V15" s="6"/>
      </tp>
      <tp>
        <v>2.2999999999999998</v>
        <stp/>
        <stp>3690.HK</stp>
        <stp>PctChg</stp>
        <tr r="G3" s="26"/>
      </tp>
      <tp>
        <v>2.86</v>
        <stp/>
        <stp>0700.HK</stp>
        <stp>PctChg</stp>
        <tr r="G2" s="26"/>
      </tp>
      <tp>
        <v>4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f_nav_unit"/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WindFunc"/>
    </sheetNames>
    <definedNames>
      <definedName name="s_dq_close"/>
      <definedName name="s_dq_high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7.2730000000000006</v>
      </c>
      <c r="C2" s="39">
        <f>RTD("wdf.rtq",,"HKDCNY.IB","Rt_Price")</f>
        <v>0.93140000000000001</v>
      </c>
      <c r="F2" s="34" t="s">
        <v>155</v>
      </c>
      <c r="G2" s="82">
        <f>RTD("wdf.rtq",,"0700.HK","PctChg")/100-0</f>
        <v>2.86E-2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2.3E-2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0.04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1.052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1.0509999999999999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1.4590000000000001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1.458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7.2730000000000006</v>
      </c>
      <c r="E2" s="29">
        <f>监控界面!C2+0</f>
        <v>0.93140000000000001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D61"/>
  <sheetViews>
    <sheetView tabSelected="1" topLeftCell="P1" zoomScale="91" zoomScaleNormal="198" workbookViewId="0">
      <selection activeCell="Z24" sqref="Z24"/>
    </sheetView>
  </sheetViews>
  <sheetFormatPr defaultColWidth="9.1796875" defaultRowHeight="13" x14ac:dyDescent="0.25"/>
  <cols>
    <col min="1" max="1" width="11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6328125" style="49" customWidth="1"/>
    <col min="8" max="8" width="9" style="49" customWidth="1"/>
    <col min="9" max="9" width="16.453125" style="59" customWidth="1"/>
    <col min="10" max="10" width="12.54296875" style="49" customWidth="1"/>
    <col min="11" max="11" width="15.7265625" style="49" customWidth="1"/>
    <col min="12" max="12" width="6.7265625" style="49" customWidth="1"/>
    <col min="13" max="13" width="15.453125" style="49" customWidth="1"/>
    <col min="14" max="14" width="9.1796875" style="49"/>
    <col min="15" max="15" width="12.81640625" style="49" customWidth="1"/>
    <col min="16" max="16" width="17.453125" style="49" customWidth="1"/>
    <col min="17" max="17" width="13.453125" style="49" customWidth="1"/>
    <col min="18" max="18" width="14.453125" style="49" customWidth="1"/>
    <col min="19" max="19" width="14.26953125" style="49" bestFit="1" customWidth="1"/>
    <col min="20" max="20" width="9.26953125" style="49" bestFit="1" customWidth="1"/>
    <col min="21" max="21" width="11.36328125" style="49" bestFit="1" customWidth="1"/>
    <col min="22" max="25" width="12.54296875" style="49" customWidth="1"/>
    <col min="26" max="26" width="18.08984375" style="49" customWidth="1"/>
    <col min="27" max="28" width="12.54296875" style="49" customWidth="1"/>
    <col min="29" max="29" width="20.90625" style="49" customWidth="1"/>
    <col min="30" max="30" width="17.1796875" style="49" customWidth="1"/>
    <col min="31" max="31" width="19.54296875" style="49" customWidth="1"/>
    <col min="32" max="33" width="17.1796875" style="49" customWidth="1"/>
    <col min="34" max="34" width="11.7265625" style="49" customWidth="1"/>
    <col min="35" max="38" width="9.1796875" style="49"/>
    <col min="39" max="39" width="9.1796875" style="48"/>
    <col min="40" max="40" width="13.54296875" style="49" customWidth="1"/>
    <col min="41" max="41" width="11.81640625" style="49" bestFit="1" customWidth="1"/>
    <col min="42" max="43" width="12.08984375" style="49" bestFit="1" customWidth="1"/>
    <col min="44" max="44" width="11.90625" style="49" bestFit="1" customWidth="1"/>
    <col min="45" max="46" width="11.36328125" style="49" bestFit="1" customWidth="1"/>
    <col min="47" max="47" width="11.26953125" style="49" customWidth="1"/>
    <col min="48" max="48" width="10.36328125" style="49" customWidth="1"/>
    <col min="49" max="49" width="10.54296875" style="49" customWidth="1"/>
    <col min="50" max="50" width="9.1796875" style="49"/>
    <col min="51" max="51" width="10.81640625" style="49" customWidth="1"/>
    <col min="52" max="16384" width="9.1796875" style="49"/>
  </cols>
  <sheetData>
    <row r="1" spans="1:56" ht="27.75" customHeight="1" x14ac:dyDescent="0.25">
      <c r="A1" s="71" t="s">
        <v>0</v>
      </c>
      <c r="B1" s="72" t="s">
        <v>314</v>
      </c>
      <c r="C1" s="73"/>
      <c r="I1" s="49"/>
      <c r="AN1" s="49" t="s">
        <v>335</v>
      </c>
      <c r="AP1" s="94" t="s">
        <v>330</v>
      </c>
      <c r="AQ1" s="94" t="s">
        <v>336</v>
      </c>
    </row>
    <row r="2" spans="1:56" x14ac:dyDescent="0.25">
      <c r="A2" s="71" t="s">
        <v>229</v>
      </c>
      <c r="B2" s="51" t="s">
        <v>421</v>
      </c>
      <c r="C2" s="50"/>
      <c r="E2" s="49">
        <v>20240716</v>
      </c>
      <c r="F2" s="93">
        <v>45491</v>
      </c>
      <c r="I2" s="49"/>
      <c r="S2" s="49" t="s">
        <v>420</v>
      </c>
      <c r="T2" s="49" t="s">
        <v>327</v>
      </c>
      <c r="AN2" s="94" t="s">
        <v>330</v>
      </c>
      <c r="AO2" s="94" t="s">
        <v>260</v>
      </c>
      <c r="AP2" s="94" t="s">
        <v>332</v>
      </c>
      <c r="AQ2" s="94" t="s">
        <v>337</v>
      </c>
    </row>
    <row r="3" spans="1:56" x14ac:dyDescent="0.25">
      <c r="A3" s="71" t="s">
        <v>3</v>
      </c>
      <c r="B3" s="51" t="s">
        <v>309</v>
      </c>
      <c r="I3" s="49"/>
      <c r="O3" s="49" t="s">
        <v>398</v>
      </c>
      <c r="Q3" s="127" t="s">
        <v>395</v>
      </c>
      <c r="R3" s="127">
        <f>SUMPRODUCT(Q6:Q38,D6:D38)</f>
        <v>1016751.0294477001</v>
      </c>
      <c r="S3" s="49">
        <f>SUMPRODUCT(R6:R38,D6:D38)</f>
        <v>999448.74237549992</v>
      </c>
      <c r="T3" s="126">
        <f>(S3/I6)-1</f>
        <v>-1.7017241137515682E-2</v>
      </c>
      <c r="AN3" s="94" t="s">
        <v>332</v>
      </c>
      <c r="AO3" s="94" t="s">
        <v>261</v>
      </c>
      <c r="AP3" s="94" t="s">
        <v>334</v>
      </c>
      <c r="AQ3" s="97">
        <f>RTD("wdf.rtq", ,"BABA.N", "rt_last","RT_Price")</f>
        <v>75.27</v>
      </c>
    </row>
    <row r="4" spans="1:56" ht="13.5" thickBot="1" x14ac:dyDescent="0.3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334</v>
      </c>
      <c r="AO4" s="97">
        <f>RTD("wdf.rtq", ,"9988.HK", "rt_last","RT_Price")</f>
        <v>74.650000000000006</v>
      </c>
    </row>
    <row r="5" spans="1:56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22</v>
      </c>
      <c r="M5" s="94" t="s">
        <v>2</v>
      </c>
      <c r="N5" s="94" t="s">
        <v>325</v>
      </c>
      <c r="O5" s="50">
        <v>45489</v>
      </c>
      <c r="P5" s="50">
        <v>45490</v>
      </c>
      <c r="Q5" s="50">
        <v>45491</v>
      </c>
      <c r="R5" s="50">
        <v>45492</v>
      </c>
      <c r="S5" s="50">
        <v>45495</v>
      </c>
      <c r="T5" s="49" t="s">
        <v>328</v>
      </c>
      <c r="U5" s="49" t="s">
        <v>329</v>
      </c>
      <c r="V5" s="49" t="s">
        <v>338</v>
      </c>
      <c r="W5" s="49" t="s">
        <v>348</v>
      </c>
      <c r="X5" s="49" t="s">
        <v>371</v>
      </c>
      <c r="Y5" s="49" t="s">
        <v>372</v>
      </c>
      <c r="Z5" s="49" t="s">
        <v>327</v>
      </c>
      <c r="AA5" s="99" t="s">
        <v>373</v>
      </c>
      <c r="AB5" s="100" t="s">
        <v>374</v>
      </c>
      <c r="AC5" s="101" t="s">
        <v>375</v>
      </c>
      <c r="AD5" s="94" t="s">
        <v>342</v>
      </c>
      <c r="AE5" s="94" t="s">
        <v>343</v>
      </c>
      <c r="AF5" s="94" t="s">
        <v>344</v>
      </c>
      <c r="AG5" s="94" t="s">
        <v>360</v>
      </c>
      <c r="AH5" s="94" t="s">
        <v>330</v>
      </c>
      <c r="AI5" s="94" t="s">
        <v>26</v>
      </c>
      <c r="AJ5" s="94" t="s">
        <v>189</v>
      </c>
      <c r="AK5" s="94" t="s">
        <v>331</v>
      </c>
      <c r="AL5" s="94"/>
    </row>
    <row r="6" spans="1:56" ht="13.5" thickBot="1" x14ac:dyDescent="0.3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45495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2916.1</v>
      </c>
      <c r="H6" s="55"/>
      <c r="I6" s="96">
        <f>SUM(G6:G38)</f>
        <v>1016751.0399999998</v>
      </c>
      <c r="K6" s="94" t="s">
        <v>323</v>
      </c>
      <c r="L6" s="94" t="s">
        <v>324</v>
      </c>
      <c r="M6" s="94" t="str">
        <f>[1]!s_info_name(N6)</f>
        <v>阿里健康</v>
      </c>
      <c r="N6" s="94" t="s">
        <v>339</v>
      </c>
      <c r="O6" s="95">
        <f>[1]!WSD(N6:N38,L6,"2024-07-16","","TradingCalendar=SSE","Currency=CNY","rptType=1","Direction=V","ShowParams=Y","cols=5;rows=33")</f>
        <v>2.8780919999999997</v>
      </c>
      <c r="P6" s="95">
        <v>3.1244436000000002</v>
      </c>
      <c r="Q6" s="95">
        <v>3.0956462999999999</v>
      </c>
      <c r="R6" s="95">
        <v>3.0132630000000002</v>
      </c>
      <c r="S6" s="125">
        <v>3.0139889999999996</v>
      </c>
      <c r="T6" s="108">
        <f>[1]!f_nav_unit($B$3,$F$2)</f>
        <v>1.0166999999999999</v>
      </c>
      <c r="U6" s="49">
        <f>T6*(1+T3)</f>
        <v>0.99939857093548778</v>
      </c>
      <c r="V6" s="49">
        <f>RTD("wdf.rtq", ,"0241.HK", "rt_last","RT_Price")</f>
        <v>3.33</v>
      </c>
      <c r="W6" s="109">
        <f>V6*$AE$7</f>
        <v>3.1015619999999999</v>
      </c>
      <c r="X6" s="49">
        <f>W6*D6</f>
        <v>2921.6714039999997</v>
      </c>
      <c r="Y6" s="49">
        <f>SUM(X6:X38)</f>
        <v>1039385.632964509</v>
      </c>
      <c r="Z6" s="107">
        <f>(Y6-R3)/R3</f>
        <v>2.2261697171926109E-2</v>
      </c>
      <c r="AA6" s="128">
        <f>U6*(1+Z6)</f>
        <v>1.0216468792757092</v>
      </c>
      <c r="AB6" s="102">
        <f>RTD("wdf.rtq", ,"513050.SH", "rt_last","RT_Price")</f>
        <v>1.052</v>
      </c>
      <c r="AC6" s="131">
        <f>(AB6-AA6)/AA6</f>
        <v>2.9709992111765206E-2</v>
      </c>
      <c r="AD6" s="94" t="s">
        <v>345</v>
      </c>
      <c r="AE6" s="110" t="s">
        <v>346</v>
      </c>
      <c r="AF6" s="110" t="s">
        <v>347</v>
      </c>
      <c r="AG6" s="110" t="s">
        <v>361</v>
      </c>
      <c r="AH6" s="94" t="s">
        <v>332</v>
      </c>
      <c r="AI6" s="94" t="s">
        <v>27</v>
      </c>
      <c r="AJ6" s="94" t="s">
        <v>190</v>
      </c>
      <c r="AK6" s="94" t="s">
        <v>333</v>
      </c>
      <c r="AL6" s="94"/>
    </row>
    <row r="7" spans="1:56" ht="13.5" thickBot="1" x14ac:dyDescent="0.3">
      <c r="A7" s="54">
        <v>45495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308822.40999999997</v>
      </c>
      <c r="H7" s="55"/>
      <c r="I7" s="49"/>
      <c r="M7" s="94" t="str">
        <f>[1]!s_info_name(N7)</f>
        <v>腾讯控股</v>
      </c>
      <c r="N7" s="94" t="s">
        <v>376</v>
      </c>
      <c r="O7" s="95">
        <v>345.37103999999999</v>
      </c>
      <c r="P7" s="95">
        <v>339.66904400000004</v>
      </c>
      <c r="Q7" s="95">
        <v>337.14236399999999</v>
      </c>
      <c r="R7" s="95">
        <v>332.37204000000003</v>
      </c>
      <c r="S7" s="95">
        <v>332.45211999999998</v>
      </c>
      <c r="V7" s="49">
        <f>RTD("wdf.rtq", ,"0700.HK", "rt_last","RT_Price")</f>
        <v>374.40000000000003</v>
      </c>
      <c r="W7" s="109">
        <f t="shared" ref="W7:W25" si="0">V7*$AE$7</f>
        <v>348.71616000000006</v>
      </c>
      <c r="X7" s="49">
        <f t="shared" ref="X7:X38" si="1">W7*D7</f>
        <v>319424.00256000005</v>
      </c>
      <c r="AD7" s="94" t="s">
        <v>334</v>
      </c>
      <c r="AE7" s="97">
        <f>RTD("wdf.rtq", ,"HKDCNY.IB", "rt_last","RT_Price")</f>
        <v>0.93140000000000001</v>
      </c>
      <c r="AF7" s="97">
        <f>RTD("wdf.rtq", ,"USDCNY.IB", "rt_last","RT_Price")</f>
        <v>7.2730000000000006</v>
      </c>
      <c r="AG7" s="97">
        <f>RTD("wdf.rtq", ,"USDHKD.IB", "rt_last","RT_Price")</f>
        <v>7.8082849999999997</v>
      </c>
      <c r="AH7" s="94" t="s">
        <v>334</v>
      </c>
      <c r="AI7" s="97">
        <f>RTD("wdf.rtq", ,"WB.O", "rt_last","RT_Price")</f>
        <v>7.65</v>
      </c>
      <c r="AJ7" s="97">
        <f>RTD("wdf.rtq", ,"1024.HK", "rt_last","RT_Price")</f>
        <v>45.35</v>
      </c>
      <c r="AK7" s="97">
        <f>RTD("wdf.rtq", ,"000625.SZ", "rt_last","RT_Price")</f>
        <v>15.620000000000001</v>
      </c>
      <c r="AL7" s="97"/>
      <c r="AM7" s="98"/>
    </row>
    <row r="8" spans="1:56" x14ac:dyDescent="0.25">
      <c r="A8" s="54">
        <v>45495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1797.8</v>
      </c>
      <c r="H8" s="55"/>
      <c r="I8" s="49"/>
      <c r="K8" s="103"/>
      <c r="M8" s="94" t="str">
        <f>[1]!s_info_name(N8)</f>
        <v>阅文集团</v>
      </c>
      <c r="N8" s="94" t="s">
        <v>377</v>
      </c>
      <c r="O8" s="95">
        <v>23.801364</v>
      </c>
      <c r="P8" s="95">
        <v>23.981475000000003</v>
      </c>
      <c r="Q8" s="95">
        <v>23.970712499999998</v>
      </c>
      <c r="R8" s="95">
        <v>23.466927000000002</v>
      </c>
      <c r="S8" s="95">
        <v>23.472580999999998</v>
      </c>
      <c r="V8" s="49">
        <f>RTD("wdf.rtq", ,"0772.HK", "rt_last","RT_Price")</f>
        <v>26.25</v>
      </c>
      <c r="W8" s="109">
        <f t="shared" si="0"/>
        <v>24.449249999999999</v>
      </c>
      <c r="X8" s="49">
        <f t="shared" si="1"/>
        <v>1833.6937499999999</v>
      </c>
      <c r="AA8" s="99" t="s">
        <v>415</v>
      </c>
      <c r="AB8" s="100" t="s">
        <v>374</v>
      </c>
      <c r="AC8" s="101" t="s">
        <v>375</v>
      </c>
    </row>
    <row r="9" spans="1:56" ht="13.5" thickBot="1" x14ac:dyDescent="0.3">
      <c r="A9" s="61">
        <v>45495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2647.02</v>
      </c>
      <c r="H9" s="55"/>
      <c r="I9" s="49"/>
      <c r="M9" s="94" t="str">
        <f>[1]!s_info_name(N9)</f>
        <v>同程旅行</v>
      </c>
      <c r="N9" s="104" t="s">
        <v>378</v>
      </c>
      <c r="O9" s="95">
        <v>13.6686528</v>
      </c>
      <c r="P9" s="95">
        <v>13.612342000000002</v>
      </c>
      <c r="Q9" s="95">
        <v>13.3688088</v>
      </c>
      <c r="R9" s="95">
        <v>12.564393600000001</v>
      </c>
      <c r="S9" s="95">
        <v>12.567420799999999</v>
      </c>
      <c r="V9" s="49">
        <f>RTD("wdf.rtq", ,"0780.HK", "rt_last","RT_Price")</f>
        <v>13.780000000000001</v>
      </c>
      <c r="W9" s="109">
        <f t="shared" si="0"/>
        <v>12.834692</v>
      </c>
      <c r="X9" s="49">
        <f t="shared" si="1"/>
        <v>2541.2690160000002</v>
      </c>
      <c r="AA9" s="122">
        <v>1.0166999999999999</v>
      </c>
      <c r="AB9" s="102">
        <f>RTD("wdf.rtq", ,"513050.SH", "rt_last","RT_Price")</f>
        <v>1.052</v>
      </c>
      <c r="AC9" s="106">
        <f>(AB9-AA9)/AA9</f>
        <v>3.4720173109078503E-2</v>
      </c>
      <c r="AE9" s="94"/>
      <c r="AF9" s="94"/>
    </row>
    <row r="10" spans="1:56" x14ac:dyDescent="0.25">
      <c r="A10" s="61">
        <v>45495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18812.759999999998</v>
      </c>
      <c r="H10" s="55"/>
      <c r="I10" s="49"/>
      <c r="M10" s="94" t="str">
        <f>[1]!s_info_name(N10)</f>
        <v>快手-W</v>
      </c>
      <c r="N10" s="94" t="s">
        <v>189</v>
      </c>
      <c r="O10" s="95">
        <v>42.303383999999994</v>
      </c>
      <c r="P10" s="95">
        <v>42.709865000000001</v>
      </c>
      <c r="Q10" s="95">
        <v>42.371087999999993</v>
      </c>
      <c r="R10" s="95">
        <v>41.272572000000004</v>
      </c>
      <c r="S10" s="95">
        <v>41.282516000000001</v>
      </c>
      <c r="V10" s="49">
        <f>RTD("wdf.rtq", ,"1024.HK", "rt_last","RT_Price")</f>
        <v>45.35</v>
      </c>
      <c r="W10" s="109">
        <f t="shared" si="0"/>
        <v>42.238990000000001</v>
      </c>
      <c r="X10" s="49">
        <f t="shared" si="1"/>
        <v>18754.111560000001</v>
      </c>
      <c r="AE10" s="94"/>
      <c r="AF10" s="94"/>
    </row>
    <row r="11" spans="1:56" ht="13.5" thickBot="1" x14ac:dyDescent="0.3">
      <c r="A11" s="61">
        <v>45495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790.35</v>
      </c>
      <c r="H11" s="55"/>
      <c r="I11" s="49"/>
      <c r="M11" s="94" t="str">
        <f>[1]!s_info_name(N11)</f>
        <v>东方甄选</v>
      </c>
      <c r="N11" s="94" t="s">
        <v>276</v>
      </c>
      <c r="O11" s="95">
        <v>10.525593599999999</v>
      </c>
      <c r="P11" s="95">
        <v>10.652342800000001</v>
      </c>
      <c r="Q11" s="95">
        <v>10.537981799999999</v>
      </c>
      <c r="R11" s="95">
        <v>9.9346368000000016</v>
      </c>
      <c r="S11" s="95">
        <v>9.9370304000000012</v>
      </c>
      <c r="V11" s="49">
        <f>RTD("wdf.rtq", ,"1797.HK", "rt_last","RT_Price")</f>
        <v>11.96</v>
      </c>
      <c r="W11" s="109">
        <f t="shared" si="0"/>
        <v>11.139544000000001</v>
      </c>
      <c r="X11" s="49">
        <f t="shared" si="1"/>
        <v>835.46580000000006</v>
      </c>
      <c r="AC11" s="94" t="s">
        <v>412</v>
      </c>
      <c r="AE11" s="94"/>
      <c r="AF11" s="97"/>
    </row>
    <row r="12" spans="1:56" ht="26.5" thickBot="1" x14ac:dyDescent="0.3">
      <c r="A12" s="61">
        <v>45495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39413.26</v>
      </c>
      <c r="H12" s="55"/>
      <c r="I12" s="49"/>
      <c r="M12" s="94" t="str">
        <f>[1]!s_info_name(N12)</f>
        <v>小米集团-W</v>
      </c>
      <c r="N12" s="94" t="s">
        <v>172</v>
      </c>
      <c r="O12" s="95">
        <v>14.9295312</v>
      </c>
      <c r="P12" s="95">
        <v>15.329872400000003</v>
      </c>
      <c r="Q12" s="95">
        <v>15.377782799999999</v>
      </c>
      <c r="R12" s="95">
        <v>15.084577200000002</v>
      </c>
      <c r="S12" s="95">
        <v>15.088211599999999</v>
      </c>
      <c r="V12" s="49">
        <f>RTD("wdf.rtq", ,"1810.HK", "rt_last","RT_Price")</f>
        <v>17.18</v>
      </c>
      <c r="W12" s="109">
        <f t="shared" si="0"/>
        <v>16.001452</v>
      </c>
      <c r="X12" s="49">
        <f t="shared" si="1"/>
        <v>41011.721475999999</v>
      </c>
      <c r="AB12" s="99" t="s">
        <v>416</v>
      </c>
      <c r="AC12" s="123">
        <f>(AA6/AA9)-1</f>
        <v>4.8656233655053338E-3</v>
      </c>
      <c r="AO12" s="94" t="s">
        <v>2</v>
      </c>
      <c r="AP12" s="94" t="s">
        <v>325</v>
      </c>
      <c r="AQ12" s="50">
        <v>45491</v>
      </c>
      <c r="AR12" s="50">
        <v>45492</v>
      </c>
      <c r="AU12" s="117" t="s">
        <v>407</v>
      </c>
    </row>
    <row r="13" spans="1:56" x14ac:dyDescent="0.25">
      <c r="A13" s="61">
        <v>45495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1018.4</v>
      </c>
      <c r="H13" s="55"/>
      <c r="I13" s="49"/>
      <c r="M13" s="94" t="str">
        <f>[1]!s_info_name(N13)</f>
        <v>平安好医生</v>
      </c>
      <c r="N13" s="94" t="s">
        <v>166</v>
      </c>
      <c r="O13" s="95">
        <v>9.5022719999999996</v>
      </c>
      <c r="P13" s="95">
        <v>10.414812000000001</v>
      </c>
      <c r="Q13" s="95">
        <v>10.3918746</v>
      </c>
      <c r="R13" s="95">
        <v>10.117258800000002</v>
      </c>
      <c r="S13" s="95">
        <v>10.1196964</v>
      </c>
      <c r="V13" s="49">
        <f>RTD("wdf.rtq", ,"1833.HK", "rt_last","RT_Price")</f>
        <v>11.28</v>
      </c>
      <c r="W13" s="109">
        <f t="shared" si="0"/>
        <v>10.506191999999999</v>
      </c>
      <c r="X13" s="49">
        <f t="shared" si="1"/>
        <v>1029.606816</v>
      </c>
      <c r="AB13" s="99" t="s">
        <v>417</v>
      </c>
      <c r="AC13" s="124">
        <f>(AC6/AC9)-1</f>
        <v>-0.14430172861100321</v>
      </c>
      <c r="AM13" s="94" t="s">
        <v>323</v>
      </c>
      <c r="AN13" s="94" t="s">
        <v>324</v>
      </c>
      <c r="AO13" s="94" t="str">
        <f>[1]!s_info_name(AP13)</f>
        <v>哔哩哔哩</v>
      </c>
      <c r="AP13" s="94" t="s">
        <v>403</v>
      </c>
      <c r="AQ13" s="95">
        <f>[1]!WSD(AP13:AP17,AN13,"2024-07-18","2024-07-19","TradingCalendar=SSE","rptType=1","Direction=V","ShowParams=Y","cols=2;rows=5")</f>
        <v>15.59</v>
      </c>
      <c r="AR13" s="95">
        <v>15.04</v>
      </c>
      <c r="AU13" s="94" t="s">
        <v>408</v>
      </c>
    </row>
    <row r="14" spans="1:56" x14ac:dyDescent="0.25">
      <c r="A14" s="61">
        <v>45495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99437.64</v>
      </c>
      <c r="H14" s="55"/>
      <c r="I14" s="49"/>
      <c r="M14" s="94" t="str">
        <f>[1]!s_info_name(N14)</f>
        <v>美团-W</v>
      </c>
      <c r="N14" s="94" t="s">
        <v>132</v>
      </c>
      <c r="O14" s="95">
        <v>107.3574</v>
      </c>
      <c r="P14" s="95">
        <v>108.807378</v>
      </c>
      <c r="Q14" s="95">
        <v>109.03249799999999</v>
      </c>
      <c r="R14" s="95">
        <v>107.29042500000001</v>
      </c>
      <c r="S14" s="95">
        <v>107.31627499999999</v>
      </c>
      <c r="V14" s="49">
        <f>RTD("wdf.rtq", ,"3690.HK", "rt_last","RT_Price")</f>
        <v>120.2</v>
      </c>
      <c r="W14" s="109">
        <f t="shared" si="0"/>
        <v>111.95428</v>
      </c>
      <c r="X14" s="49">
        <f t="shared" si="1"/>
        <v>102102.30335999999</v>
      </c>
      <c r="AO14" s="94" t="str">
        <f>[1]!s_info_name(AP14)</f>
        <v>阿里巴巴</v>
      </c>
      <c r="AP14" s="94" t="s">
        <v>336</v>
      </c>
      <c r="AQ14" s="95">
        <v>76.540000000000006</v>
      </c>
      <c r="AR14" s="95">
        <v>75.27</v>
      </c>
      <c r="AT14" s="94" t="s">
        <v>2</v>
      </c>
      <c r="AU14" s="94" t="str">
        <f>[1]!s_info_name(AU15)</f>
        <v>汽车之家-S</v>
      </c>
      <c r="AV14" s="94" t="str">
        <f>[1]!s_info_name(AV15)</f>
        <v>贝壳-W</v>
      </c>
      <c r="AW14" s="94" t="str">
        <f>[1]!s_info_name(AW15)</f>
        <v>BOSS直聘-W</v>
      </c>
      <c r="AX14" s="94" t="str">
        <f>[1]!s_info_name(AX15)</f>
        <v>奇富科技-S</v>
      </c>
      <c r="AY14" s="94" t="str">
        <f>[1]!s_info_name(AY15)</f>
        <v>腾讯音乐-SW</v>
      </c>
      <c r="AZ14" s="94" t="str">
        <f>[1]!s_info_name(AZ15)</f>
        <v>微博-SW</v>
      </c>
      <c r="BA14" s="94" t="str">
        <f>[1]!s_info_name(BA15)</f>
        <v>阿里巴巴-SW</v>
      </c>
      <c r="BB14" s="94" t="str">
        <f>[1]!s_info_name(BB15)</f>
        <v>百度集团-SW</v>
      </c>
      <c r="BC14" s="94" t="str">
        <f>[1]!s_info_name(BC15)</f>
        <v>京东集团-SW</v>
      </c>
      <c r="BD14" s="94" t="str">
        <f>[1]!s_info_name(BD15)</f>
        <v>网易-S</v>
      </c>
    </row>
    <row r="15" spans="1:56" x14ac:dyDescent="0.25">
      <c r="A15" s="61">
        <v>45495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2850.92</v>
      </c>
      <c r="H15" s="55"/>
      <c r="I15" s="49"/>
      <c r="M15" s="94" t="str">
        <f>[1]!s_info_name(N15)</f>
        <v>金山软件</v>
      </c>
      <c r="N15" s="94" t="s">
        <v>18</v>
      </c>
      <c r="O15" s="95">
        <v>20.192328</v>
      </c>
      <c r="P15" s="95">
        <v>20.418513000000004</v>
      </c>
      <c r="Q15" s="95">
        <v>20.363690999999999</v>
      </c>
      <c r="R15" s="95">
        <v>20.225386499999999</v>
      </c>
      <c r="S15" s="95">
        <v>20.230259499999999</v>
      </c>
      <c r="V15" s="49">
        <f>RTD("wdf.rtq", ,"3888.HK", "rt_last","RT_Price")</f>
        <v>22.6</v>
      </c>
      <c r="W15" s="109">
        <f t="shared" si="0"/>
        <v>21.04964</v>
      </c>
      <c r="X15" s="49">
        <f t="shared" si="1"/>
        <v>2946.9495999999999</v>
      </c>
      <c r="AC15" s="103"/>
      <c r="AO15" s="94" t="str">
        <f>[1]!s_info_name(AP15)</f>
        <v>百度</v>
      </c>
      <c r="AP15" s="94" t="s">
        <v>404</v>
      </c>
      <c r="AQ15" s="95">
        <v>90.9</v>
      </c>
      <c r="AR15" s="95">
        <v>90.37</v>
      </c>
      <c r="AT15" s="94" t="s">
        <v>325</v>
      </c>
      <c r="AU15" s="94" t="s">
        <v>349</v>
      </c>
      <c r="AV15" s="94" t="s">
        <v>350</v>
      </c>
      <c r="AW15" s="94" t="s">
        <v>351</v>
      </c>
      <c r="AX15" s="94" t="s">
        <v>352</v>
      </c>
      <c r="AY15" s="94" t="s">
        <v>353</v>
      </c>
      <c r="AZ15" s="94" t="s">
        <v>326</v>
      </c>
      <c r="BA15" s="94" t="s">
        <v>260</v>
      </c>
      <c r="BB15" s="94" t="s">
        <v>256</v>
      </c>
      <c r="BC15" s="94" t="s">
        <v>253</v>
      </c>
      <c r="BD15" s="94" t="s">
        <v>262</v>
      </c>
    </row>
    <row r="16" spans="1:56" x14ac:dyDescent="0.25">
      <c r="A16" s="61">
        <v>45495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1520.43</v>
      </c>
      <c r="H16" s="55"/>
      <c r="I16" s="49"/>
      <c r="M16" s="94" t="str">
        <f>[1]!s_info_name(N16)</f>
        <v>众安在线</v>
      </c>
      <c r="N16" s="94" t="s">
        <v>181</v>
      </c>
      <c r="O16" s="95">
        <v>11.8961136</v>
      </c>
      <c r="P16" s="95">
        <v>12.0957992</v>
      </c>
      <c r="Q16" s="95">
        <v>12.163424399999998</v>
      </c>
      <c r="R16" s="95">
        <v>11.7425946</v>
      </c>
      <c r="S16" s="95">
        <v>11.745423799999999</v>
      </c>
      <c r="V16" s="49">
        <f>RTD("wdf.rtq", ,"6060.HK", "rt_last","RT_Price")</f>
        <v>12.780000000000001</v>
      </c>
      <c r="W16" s="109">
        <f t="shared" si="0"/>
        <v>11.903292</v>
      </c>
      <c r="X16" s="49">
        <f t="shared" si="1"/>
        <v>1487.9115000000002</v>
      </c>
      <c r="AC16" s="103"/>
      <c r="AO16" s="94" t="str">
        <f>[1]!s_info_name(AP16)</f>
        <v>京东</v>
      </c>
      <c r="AP16" s="94" t="s">
        <v>405</v>
      </c>
      <c r="AQ16" s="95">
        <v>26.28</v>
      </c>
      <c r="AR16" s="95">
        <v>26.26</v>
      </c>
      <c r="AT16" s="50">
        <v>45491</v>
      </c>
      <c r="AU16" s="95" t="str">
        <f>[1]!WSD(AU15:BD15,AU13,"2024-07-18","2024-07-19","unit=100000000","TradingCalendar=SSE","Currency=CNY","rptType=1","ShowParams=Y","cols=10;rows=2")</f>
        <v/>
      </c>
      <c r="AV16" s="95"/>
      <c r="AW16" s="95"/>
      <c r="AX16" s="95"/>
      <c r="AY16" s="95"/>
      <c r="AZ16" s="95"/>
      <c r="BA16" s="95"/>
      <c r="BB16" s="95"/>
      <c r="BC16" s="95"/>
      <c r="BD16" s="95"/>
    </row>
    <row r="17" spans="1:56" x14ac:dyDescent="0.25">
      <c r="A17" s="61">
        <v>45495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3637.25</v>
      </c>
      <c r="H17" s="55"/>
      <c r="I17" s="49"/>
      <c r="M17" s="94" t="str">
        <f>[1]!s_info_name(N17)</f>
        <v>京东健康</v>
      </c>
      <c r="N17" s="94" t="s">
        <v>183</v>
      </c>
      <c r="O17" s="95">
        <v>19.095911999999998</v>
      </c>
      <c r="P17" s="95">
        <v>19.824686</v>
      </c>
      <c r="Q17" s="95">
        <v>19.450520999999998</v>
      </c>
      <c r="R17" s="95">
        <v>18.764410500000004</v>
      </c>
      <c r="S17" s="95">
        <v>18.768931500000001</v>
      </c>
      <c r="V17" s="49">
        <f>RTD("wdf.rtq", ,"6618.HK", "rt_last","RT_Price")</f>
        <v>20.900000000000002</v>
      </c>
      <c r="W17" s="109">
        <f t="shared" si="0"/>
        <v>19.466260000000002</v>
      </c>
      <c r="X17" s="49">
        <f t="shared" si="1"/>
        <v>3640.1906200000003</v>
      </c>
      <c r="AC17" s="103"/>
      <c r="AO17" s="94" t="str">
        <f>[1]!s_info_name(AP17)</f>
        <v>网易</v>
      </c>
      <c r="AP17" s="94" t="s">
        <v>406</v>
      </c>
      <c r="AQ17" s="95">
        <v>92.56</v>
      </c>
      <c r="AR17" s="95">
        <v>91.35</v>
      </c>
      <c r="AT17" s="50">
        <v>45492</v>
      </c>
      <c r="AU17" s="95"/>
      <c r="AV17" s="95"/>
      <c r="AW17" s="95"/>
      <c r="AX17" s="95"/>
      <c r="AY17" s="95"/>
      <c r="AZ17" s="95"/>
      <c r="BA17" s="95"/>
      <c r="BB17" s="95"/>
      <c r="BC17" s="95"/>
      <c r="BD17" s="95"/>
    </row>
    <row r="18" spans="1:56" x14ac:dyDescent="0.25">
      <c r="A18" s="61">
        <v>45495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35882.1</v>
      </c>
      <c r="H18" s="55"/>
      <c r="I18" s="49"/>
      <c r="M18" s="94" t="str">
        <f>[1]!s_info_name(N18)</f>
        <v>京东集团-SW</v>
      </c>
      <c r="N18" s="94" t="s">
        <v>253</v>
      </c>
      <c r="O18" s="95">
        <v>95.479559999999992</v>
      </c>
      <c r="P18" s="95">
        <v>97.478986000000006</v>
      </c>
      <c r="Q18" s="95">
        <v>96.978653999999992</v>
      </c>
      <c r="R18" s="95">
        <v>93.776397000000017</v>
      </c>
      <c r="S18" s="95">
        <v>93.798991000000001</v>
      </c>
      <c r="V18" s="49">
        <f>RTD("wdf.rtq", ,"9618.HK", "rt_last","RT_Price")</f>
        <v>104.2</v>
      </c>
      <c r="W18" s="109">
        <f t="shared" si="0"/>
        <v>97.051879999999997</v>
      </c>
      <c r="X18" s="49">
        <f t="shared" si="1"/>
        <v>35909.195599999999</v>
      </c>
      <c r="AC18" s="94"/>
      <c r="AD18" s="94"/>
      <c r="AE18" s="50"/>
      <c r="AF18" s="50"/>
    </row>
    <row r="19" spans="1:56" x14ac:dyDescent="0.25">
      <c r="A19" s="61">
        <v>45495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4763.46</v>
      </c>
      <c r="H19" s="55"/>
      <c r="I19" s="49"/>
      <c r="M19" s="94" t="str">
        <f>[1]!s_info_name(N19)</f>
        <v>哔哩哔哩-W</v>
      </c>
      <c r="N19" s="94" t="s">
        <v>255</v>
      </c>
      <c r="O19" s="95">
        <v>116.03735999999999</v>
      </c>
      <c r="P19" s="95">
        <v>114.471574</v>
      </c>
      <c r="Q19" s="95">
        <v>113.41571399999999</v>
      </c>
      <c r="R19" s="95">
        <v>110.66893200000001</v>
      </c>
      <c r="S19" s="95">
        <v>110.69559599999999</v>
      </c>
      <c r="V19" s="49">
        <f>RTD("wdf.rtq", ,"9626.HK", "rt_last","RT_Price")</f>
        <v>119.7</v>
      </c>
      <c r="W19" s="109">
        <f t="shared" si="0"/>
        <v>111.48858</v>
      </c>
      <c r="X19" s="49">
        <f t="shared" si="1"/>
        <v>4682.5203599999995</v>
      </c>
      <c r="AA19" s="94"/>
      <c r="AB19" s="94"/>
      <c r="AC19" s="94"/>
      <c r="AD19" s="94"/>
      <c r="AF19" s="95"/>
    </row>
    <row r="20" spans="1:56" x14ac:dyDescent="0.25">
      <c r="A20" s="61">
        <v>45495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402.45</v>
      </c>
      <c r="H20" s="55"/>
      <c r="I20" s="49"/>
      <c r="M20" s="94" t="str">
        <f>[1]!s_info_name(N20)</f>
        <v>药师帮</v>
      </c>
      <c r="N20" s="94" t="s">
        <v>302</v>
      </c>
      <c r="O20" s="95">
        <v>7.1541143999999992</v>
      </c>
      <c r="P20" s="95">
        <v>7.1350598000000005</v>
      </c>
      <c r="Q20" s="95">
        <v>7.1866478999999996</v>
      </c>
      <c r="R20" s="95">
        <v>7.2592245000000011</v>
      </c>
      <c r="S20" s="95">
        <v>7.2609734999999995</v>
      </c>
      <c r="V20" s="49">
        <f>RTD("wdf.rtq", ,"9885.HK", "rt_last","RT_Price")</f>
        <v>7.9</v>
      </c>
      <c r="W20" s="109">
        <f t="shared" si="0"/>
        <v>7.35806</v>
      </c>
      <c r="X20" s="49">
        <f t="shared" si="1"/>
        <v>412.05135999999999</v>
      </c>
      <c r="AC20" s="103"/>
    </row>
    <row r="21" spans="1:56" x14ac:dyDescent="0.25">
      <c r="A21" s="61">
        <v>45495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33816.79</v>
      </c>
      <c r="H21" s="55"/>
      <c r="I21" s="49"/>
      <c r="M21" s="94" t="str">
        <f>[1]!s_info_name(N21)</f>
        <v>百度集团-SW</v>
      </c>
      <c r="N21" s="94" t="s">
        <v>256</v>
      </c>
      <c r="O21" s="95">
        <v>83.281931999999998</v>
      </c>
      <c r="P21" s="95">
        <v>83.729607000000016</v>
      </c>
      <c r="Q21" s="95">
        <v>81.683056499999992</v>
      </c>
      <c r="R21" s="95">
        <v>80.490646500000011</v>
      </c>
      <c r="S21" s="95">
        <v>80.510039500000005</v>
      </c>
      <c r="V21" s="49">
        <f>RTD("wdf.rtq", ,"9888.HK", "rt_last","RT_Price")</f>
        <v>89.4</v>
      </c>
      <c r="W21" s="109">
        <f t="shared" si="0"/>
        <v>83.267160000000004</v>
      </c>
      <c r="X21" s="49">
        <f t="shared" si="1"/>
        <v>34472.604240000001</v>
      </c>
      <c r="AC21" s="103"/>
    </row>
    <row r="22" spans="1:56" x14ac:dyDescent="0.25">
      <c r="A22" s="61">
        <v>45495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367.44</v>
      </c>
      <c r="H22" s="55"/>
      <c r="I22" s="49"/>
      <c r="M22" s="94" t="str">
        <f>[1]!s_info_name(N22)</f>
        <v>中旭未来</v>
      </c>
      <c r="N22" s="94" t="s">
        <v>304</v>
      </c>
      <c r="O22" s="95">
        <v>10.817971199999999</v>
      </c>
      <c r="P22" s="95">
        <v>11.474564800000001</v>
      </c>
      <c r="Q22" s="95">
        <v>11.852946599999999</v>
      </c>
      <c r="R22" s="95">
        <v>11.888692200000001</v>
      </c>
      <c r="S22" s="95">
        <v>11.891556599999999</v>
      </c>
      <c r="V22" s="49">
        <f>RTD("wdf.rtq", ,"9890.HK", "rt_last","RT_Price")</f>
        <v>12.4</v>
      </c>
      <c r="W22" s="109">
        <f t="shared" si="0"/>
        <v>11.54936</v>
      </c>
      <c r="X22" s="49">
        <f t="shared" si="1"/>
        <v>358.03016000000002</v>
      </c>
      <c r="AC22" s="103"/>
    </row>
    <row r="23" spans="1:56" x14ac:dyDescent="0.25">
      <c r="A23" s="61">
        <v>45495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32801.07</v>
      </c>
      <c r="H23" s="55"/>
      <c r="I23" s="49"/>
      <c r="M23" s="94" t="str">
        <f>[1]!s_info_name(N23)</f>
        <v>携程集团-S</v>
      </c>
      <c r="N23" s="94" t="s">
        <v>258</v>
      </c>
      <c r="O23" s="95">
        <v>341.53358399999996</v>
      </c>
      <c r="P23" s="95">
        <v>338.75546400000002</v>
      </c>
      <c r="Q23" s="95">
        <v>328.01066399999996</v>
      </c>
      <c r="R23" s="95">
        <v>314.292462</v>
      </c>
      <c r="S23" s="95">
        <v>314.36818599999998</v>
      </c>
      <c r="V23" s="49">
        <f>RTD("wdf.rtq", ,"9961.HK", "rt_last","RT_Price")</f>
        <v>359</v>
      </c>
      <c r="W23" s="109">
        <f t="shared" si="0"/>
        <v>334.37259999999998</v>
      </c>
      <c r="X23" s="49">
        <f t="shared" si="1"/>
        <v>33437.259999999995</v>
      </c>
      <c r="AC23" s="103"/>
    </row>
    <row r="24" spans="1:56" x14ac:dyDescent="0.25">
      <c r="A24" s="61">
        <v>45495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214576.69</v>
      </c>
      <c r="H24" s="55"/>
      <c r="I24" s="49"/>
      <c r="M24" s="94" t="str">
        <f>[1]!s_info_name(N24)</f>
        <v>阿里巴巴-SW</v>
      </c>
      <c r="N24" s="94" t="s">
        <v>260</v>
      </c>
      <c r="O24" s="95">
        <v>68.982839999999996</v>
      </c>
      <c r="P24" s="95">
        <v>69.706153999999998</v>
      </c>
      <c r="Q24" s="95">
        <v>69.218285999999992</v>
      </c>
      <c r="R24" s="95">
        <v>67.387518</v>
      </c>
      <c r="S24" s="95">
        <v>67.403753999999992</v>
      </c>
      <c r="V24" s="49">
        <f>RTD("wdf.rtq", ,"9988.HK", "rt_last","RT_Price")</f>
        <v>74.650000000000006</v>
      </c>
      <c r="W24" s="109">
        <f t="shared" si="0"/>
        <v>69.52901</v>
      </c>
      <c r="X24" s="49">
        <f t="shared" si="1"/>
        <v>215539.93100000001</v>
      </c>
      <c r="AC24" s="103"/>
    </row>
    <row r="25" spans="1:56" x14ac:dyDescent="0.25">
      <c r="A25" s="61">
        <v>45495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38291.769999999997</v>
      </c>
      <c r="H25" s="55"/>
      <c r="I25" s="49"/>
      <c r="M25" s="94" t="str">
        <f>[1]!s_info_name(N25)</f>
        <v>网易-S</v>
      </c>
      <c r="N25" s="94" t="s">
        <v>262</v>
      </c>
      <c r="O25" s="95">
        <v>131.56992</v>
      </c>
      <c r="P25" s="95">
        <v>133.38268000000002</v>
      </c>
      <c r="Q25" s="95">
        <v>132.95755199999999</v>
      </c>
      <c r="R25" s="95">
        <v>129.47899800000002</v>
      </c>
      <c r="S25" s="95">
        <v>129.51019400000001</v>
      </c>
      <c r="V25" s="49">
        <f>RTD("wdf.rtq", ,"9999.HK", "rt_last","RT_Price")</f>
        <v>144.1</v>
      </c>
      <c r="W25" s="109">
        <f t="shared" si="0"/>
        <v>134.21474000000001</v>
      </c>
      <c r="X25" s="49">
        <f t="shared" si="1"/>
        <v>38653.845119999998</v>
      </c>
      <c r="AE25" s="50"/>
    </row>
    <row r="26" spans="1:56" x14ac:dyDescent="0.25">
      <c r="A26" s="3">
        <v>45495</v>
      </c>
      <c r="B26" s="5" t="s">
        <v>20</v>
      </c>
      <c r="C26" s="112" t="s">
        <v>21</v>
      </c>
      <c r="D26" s="57">
        <v>11</v>
      </c>
      <c r="E26" s="5" t="s">
        <v>16</v>
      </c>
      <c r="F26" s="57">
        <v>10</v>
      </c>
      <c r="G26" s="20">
        <v>2087.37</v>
      </c>
      <c r="H26" s="55"/>
      <c r="I26" s="49"/>
      <c r="M26" s="94" t="str">
        <f>[1]!s_info_name(N26)</f>
        <v>汽车之家</v>
      </c>
      <c r="N26" s="94" t="s">
        <v>340</v>
      </c>
      <c r="O26" s="95">
        <v>199.57574399999999</v>
      </c>
      <c r="P26" s="95">
        <v>198.26403999999999</v>
      </c>
      <c r="Q26" s="95">
        <v>189.76067</v>
      </c>
      <c r="R26" s="95">
        <v>179.85642999999999</v>
      </c>
      <c r="S26" s="95">
        <v>179.90687</v>
      </c>
      <c r="U26" s="116"/>
      <c r="V26" s="95">
        <v>26.62</v>
      </c>
      <c r="W26" s="111">
        <f>AN29*AF7</f>
        <v>183.68125651151311</v>
      </c>
      <c r="X26" s="49">
        <f t="shared" si="1"/>
        <v>2020.4938216266441</v>
      </c>
      <c r="AC26" s="94"/>
      <c r="AD26" s="94"/>
      <c r="AE26" s="95"/>
      <c r="AF26" s="50"/>
      <c r="AM26" s="118" t="s">
        <v>330</v>
      </c>
      <c r="AN26" s="119" t="s">
        <v>349</v>
      </c>
      <c r="AO26" s="119" t="s">
        <v>350</v>
      </c>
      <c r="AP26" s="119" t="s">
        <v>351</v>
      </c>
      <c r="AQ26" s="119" t="s">
        <v>352</v>
      </c>
      <c r="AR26" s="119" t="s">
        <v>353</v>
      </c>
      <c r="AS26" s="119" t="s">
        <v>326</v>
      </c>
      <c r="AT26" s="109" t="s">
        <v>399</v>
      </c>
      <c r="AU26" s="109" t="s">
        <v>400</v>
      </c>
      <c r="AV26" s="109" t="s">
        <v>401</v>
      </c>
      <c r="AW26" s="109" t="s">
        <v>402</v>
      </c>
      <c r="AX26" s="109"/>
      <c r="AY26" s="109"/>
    </row>
    <row r="27" spans="1:56" x14ac:dyDescent="0.25">
      <c r="A27" s="3">
        <v>45495</v>
      </c>
      <c r="B27" s="5" t="s">
        <v>174</v>
      </c>
      <c r="C27" s="112" t="s">
        <v>194</v>
      </c>
      <c r="D27" s="57">
        <v>108</v>
      </c>
      <c r="E27" s="5" t="s">
        <v>16</v>
      </c>
      <c r="F27" s="57">
        <v>10</v>
      </c>
      <c r="G27" s="20">
        <v>11009.26</v>
      </c>
      <c r="H27" s="55"/>
      <c r="I27" s="49"/>
      <c r="M27" s="94" t="str">
        <f>[1]!s_info_name(N27)</f>
        <v>贝壳</v>
      </c>
      <c r="N27" s="94" t="s">
        <v>341</v>
      </c>
      <c r="O27" s="95">
        <v>105.56544</v>
      </c>
      <c r="P27" s="95">
        <v>102.555284</v>
      </c>
      <c r="Q27" s="95">
        <v>101.93755</v>
      </c>
      <c r="R27" s="95">
        <v>100.69677999999999</v>
      </c>
      <c r="S27" s="95">
        <v>100.72502</v>
      </c>
      <c r="V27" s="95">
        <v>14.3</v>
      </c>
      <c r="W27" s="111">
        <f>AO29*AF7</f>
        <v>103.80971621809398</v>
      </c>
      <c r="X27" s="49">
        <f t="shared" si="1"/>
        <v>11211.449351554151</v>
      </c>
      <c r="AA27" s="94"/>
      <c r="AB27" s="94"/>
      <c r="AC27" s="94"/>
      <c r="AD27" s="94"/>
      <c r="AE27" s="95"/>
      <c r="AF27" s="95"/>
      <c r="AM27" s="118" t="s">
        <v>332</v>
      </c>
      <c r="AN27" s="119" t="s">
        <v>354</v>
      </c>
      <c r="AO27" s="119" t="s">
        <v>355</v>
      </c>
      <c r="AP27" s="119" t="s">
        <v>409</v>
      </c>
      <c r="AQ27" s="119" t="s">
        <v>356</v>
      </c>
      <c r="AR27" s="119" t="s">
        <v>357</v>
      </c>
      <c r="AS27" s="119" t="s">
        <v>358</v>
      </c>
      <c r="AT27" s="109" t="s">
        <v>364</v>
      </c>
      <c r="AU27" s="109" t="s">
        <v>365</v>
      </c>
      <c r="AV27" s="109" t="s">
        <v>366</v>
      </c>
      <c r="AW27" s="109" t="s">
        <v>367</v>
      </c>
      <c r="AX27" s="109" t="s">
        <v>369</v>
      </c>
      <c r="AY27" s="109" t="s">
        <v>368</v>
      </c>
    </row>
    <row r="28" spans="1:56" x14ac:dyDescent="0.25">
      <c r="A28" s="3">
        <v>45495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7446.07</v>
      </c>
      <c r="H28" s="55"/>
      <c r="I28" s="49"/>
      <c r="M28" s="94" t="str">
        <f>[1]!s_info_name(N28)</f>
        <v>BOSS直聘</v>
      </c>
      <c r="N28" s="94" t="s">
        <v>231</v>
      </c>
      <c r="O28" s="95">
        <v>122.755488</v>
      </c>
      <c r="P28" s="95">
        <v>119.81424</v>
      </c>
      <c r="Q28" s="95">
        <v>114.55499500000001</v>
      </c>
      <c r="R28" s="95">
        <v>111.96454999999999</v>
      </c>
      <c r="S28" s="95">
        <v>111.99595000000001</v>
      </c>
      <c r="V28" s="95">
        <v>16.07</v>
      </c>
      <c r="W28" s="49">
        <f>V28*(1+$AY$28)*$AF$7</f>
        <v>118.38099813167446</v>
      </c>
      <c r="X28" s="49">
        <f t="shared" si="1"/>
        <v>7694.7648785588399</v>
      </c>
      <c r="AA28" s="95"/>
      <c r="AB28" s="95"/>
      <c r="AC28" s="95"/>
      <c r="AD28" s="94" t="s">
        <v>2</v>
      </c>
      <c r="AE28" s="94" t="s">
        <v>325</v>
      </c>
      <c r="AF28" s="50">
        <v>45491</v>
      </c>
      <c r="AG28" s="50">
        <v>45492</v>
      </c>
      <c r="AM28" s="118" t="s">
        <v>334</v>
      </c>
      <c r="AN28" s="120">
        <f>RTD("wdf.rtq", ,"2518.HK", "rt_last","RT_Price")</f>
        <v>49.300000000000004</v>
      </c>
      <c r="AO28" s="120">
        <f>RTD("wdf.rtq", ,"2423.HK", "rt_last","RT_Price")</f>
        <v>37.15</v>
      </c>
      <c r="AP28" s="120">
        <f>RTD("wdf.rtq", ,"9626.HK", "rt_last","RT_Price")</f>
        <v>119.7</v>
      </c>
      <c r="AQ28" s="120">
        <f>RTD("wdf.rtq", ,"3660.HK", "rt_last","RT_Price")</f>
        <v>75.45</v>
      </c>
      <c r="AR28" s="120">
        <f>RTD("wdf.rtq", ,"1698.HK", "rt_last","RT_Price")</f>
        <v>55.75</v>
      </c>
      <c r="AS28" s="120">
        <f>RTD("wdf.rtq", ,"9898.HK", "rt_last","RT_Price")</f>
        <v>61.25</v>
      </c>
      <c r="AT28" s="120">
        <f>RTD("wdf.rtq", ,"9988.HK", "rt_last","RT_Price")</f>
        <v>74.650000000000006</v>
      </c>
      <c r="AU28" s="120">
        <f>RTD("wdf.rtq", ,"9888.HK", "rt_last","RT_Price")</f>
        <v>89.4</v>
      </c>
      <c r="AV28" s="120">
        <f>RTD("wdf.rtq", ,"9618.HK", "rt_last","RT_Price")</f>
        <v>104.2</v>
      </c>
      <c r="AW28" s="120">
        <f>RTD("wdf.rtq", ,"9999.HK", "rt_last","RT_Price")</f>
        <v>144.1</v>
      </c>
      <c r="AX28" s="109">
        <f>SUM(AN32:AW32)</f>
        <v>265492900.99000001</v>
      </c>
      <c r="AY28" s="109">
        <f>AN31*AN33+AO31*AO33+AP31*AP33+AQ31*AQ33+AR31*AR33+AS31*AS33+AT31*AT33+AU31*AU33+AV31*AV33+AW31*AW33</f>
        <v>1.2867259736953235E-2</v>
      </c>
    </row>
    <row r="29" spans="1:56" x14ac:dyDescent="0.25">
      <c r="A29" s="3">
        <v>45495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1195.24</v>
      </c>
      <c r="H29" s="55"/>
      <c r="I29" s="49"/>
      <c r="M29" s="94" t="str">
        <f>[1]!s_info_name(N29)</f>
        <v>爱奇艺</v>
      </c>
      <c r="N29" s="94" t="s">
        <v>29</v>
      </c>
      <c r="O29" s="95">
        <v>26.747999999999998</v>
      </c>
      <c r="P29" s="95">
        <v>26.102387999999998</v>
      </c>
      <c r="Q29" s="95">
        <v>25.983382500000001</v>
      </c>
      <c r="R29" s="95">
        <v>24.960249999999998</v>
      </c>
      <c r="S29" s="95">
        <v>24.967250000000003</v>
      </c>
      <c r="V29" s="95">
        <v>3.645</v>
      </c>
      <c r="W29" s="49">
        <f t="shared" ref="W29:W31" si="2">V29*(1+$AY$28)*$AF$7</f>
        <v>26.851197149343712</v>
      </c>
      <c r="X29" s="49">
        <f t="shared" si="1"/>
        <v>1235.1550688698107</v>
      </c>
      <c r="AB29" s="94" t="s">
        <v>323</v>
      </c>
      <c r="AC29" s="94" t="s">
        <v>324</v>
      </c>
      <c r="AD29" s="94" t="str">
        <f>[1]!s_info_name(AE29)</f>
        <v>汽车之家</v>
      </c>
      <c r="AE29" s="94" t="s">
        <v>20</v>
      </c>
      <c r="AF29" s="95">
        <f>[1]!WSD(AE29:AE41,AC29,"2024-07-18","2024-07-19","TradingCalendar=SSE","rptType=1","Direction=V","ShowParams=Y","cols=2;rows=13")</f>
        <v>26.62</v>
      </c>
      <c r="AG29" s="95">
        <v>25.22</v>
      </c>
      <c r="AM29" s="118" t="s">
        <v>359</v>
      </c>
      <c r="AN29" s="109">
        <f>AN28*4/AG7</f>
        <v>25.255225699369326</v>
      </c>
      <c r="AO29" s="109">
        <f>AO28*3/AG7</f>
        <v>14.273300731210501</v>
      </c>
      <c r="AP29" s="109">
        <f>AP28/AG7</f>
        <v>15.329870771878845</v>
      </c>
      <c r="AQ29" s="109">
        <f>AQ28*2/AG7</f>
        <v>19.325626562042753</v>
      </c>
      <c r="AR29" s="109">
        <f>AR28*2/AG7</f>
        <v>14.279704186002432</v>
      </c>
      <c r="AS29" s="109">
        <f>AS28/AG7</f>
        <v>7.8442321201134435</v>
      </c>
      <c r="AT29" s="109">
        <f>AT28*8/AG7</f>
        <v>76.482864034804066</v>
      </c>
      <c r="AU29" s="109">
        <f>AU28*8/AG7</f>
        <v>91.59501734375732</v>
      </c>
      <c r="AV29" s="109">
        <f>AV28*2/AG7</f>
        <v>26.689599572761498</v>
      </c>
      <c r="AW29" s="109">
        <f>AW28*5/AG7</f>
        <v>92.273783551701811</v>
      </c>
      <c r="AX29" s="109"/>
      <c r="AY29" s="109"/>
    </row>
    <row r="30" spans="1:56" x14ac:dyDescent="0.25">
      <c r="A30" s="3">
        <v>45495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666.51</v>
      </c>
      <c r="H30" s="55"/>
      <c r="I30" s="49"/>
      <c r="M30" s="94" t="str">
        <f>[1]!s_info_name(N30)</f>
        <v>陆金所控股</v>
      </c>
      <c r="N30" s="94" t="s">
        <v>180</v>
      </c>
      <c r="O30" s="95">
        <v>20.185824</v>
      </c>
      <c r="P30" s="95">
        <v>19.327177999999996</v>
      </c>
      <c r="Q30" s="95">
        <v>19.603375</v>
      </c>
      <c r="R30" s="95">
        <v>20.039515000000002</v>
      </c>
      <c r="S30" s="95">
        <v>20.045135000000002</v>
      </c>
      <c r="V30" s="95">
        <v>2.75</v>
      </c>
      <c r="W30" s="49">
        <f t="shared" si="2"/>
        <v>20.258104845183869</v>
      </c>
      <c r="X30" s="49">
        <f t="shared" si="1"/>
        <v>688.77556473625157</v>
      </c>
      <c r="AD30" s="94" t="str">
        <f>[1]!s_info_name(AE30)</f>
        <v>贝壳</v>
      </c>
      <c r="AE30" s="94" t="s">
        <v>174</v>
      </c>
      <c r="AF30" s="95">
        <v>14.3</v>
      </c>
      <c r="AG30" s="95">
        <v>14.12</v>
      </c>
      <c r="AM30" s="118" t="s">
        <v>362</v>
      </c>
      <c r="AN30" s="121">
        <f>AG29</f>
        <v>25.22</v>
      </c>
      <c r="AO30" s="121">
        <f>AG30</f>
        <v>14.12</v>
      </c>
      <c r="AP30" s="121">
        <f>AG31</f>
        <v>15.7</v>
      </c>
      <c r="AQ30" s="121">
        <f>AG35</f>
        <v>19.239999999999998</v>
      </c>
      <c r="AR30" s="121">
        <f>AG37</f>
        <v>14.26</v>
      </c>
      <c r="AS30" s="121">
        <f>AG39</f>
        <v>7.65</v>
      </c>
      <c r="AT30" s="121">
        <f>AR14</f>
        <v>75.27</v>
      </c>
      <c r="AU30" s="121">
        <f>AR15</f>
        <v>90.37</v>
      </c>
      <c r="AV30" s="121">
        <f>AR16</f>
        <v>26.26</v>
      </c>
      <c r="AW30" s="121">
        <f>AR17</f>
        <v>91.35</v>
      </c>
      <c r="AX30" s="109"/>
      <c r="AY30" s="109"/>
    </row>
    <row r="31" spans="1:56" x14ac:dyDescent="0.25">
      <c r="A31" s="3">
        <v>45495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114866.94</v>
      </c>
      <c r="H31" s="55"/>
      <c r="I31" s="49"/>
      <c r="M31" s="94" t="str">
        <f>[1]!s_info_name(N31)</f>
        <v>拼多多</v>
      </c>
      <c r="N31" s="94" t="s">
        <v>150</v>
      </c>
      <c r="O31" s="95">
        <v>968.91955199999995</v>
      </c>
      <c r="P31" s="95">
        <v>940.11387599999989</v>
      </c>
      <c r="Q31" s="95">
        <v>941.53228000000001</v>
      </c>
      <c r="R31" s="95">
        <v>948.7747599999999</v>
      </c>
      <c r="S31" s="95">
        <v>949.04084</v>
      </c>
      <c r="V31" s="95">
        <v>132.08000000000001</v>
      </c>
      <c r="W31" s="49">
        <f t="shared" si="2"/>
        <v>972.97835925523111</v>
      </c>
      <c r="X31" s="49">
        <f t="shared" si="1"/>
        <v>118703.35982913819</v>
      </c>
      <c r="AD31" s="94" t="str">
        <f>[1]!s_info_name(AE31)</f>
        <v>BOSS直聘</v>
      </c>
      <c r="AE31" s="94" t="s">
        <v>231</v>
      </c>
      <c r="AF31" s="95">
        <v>16.07</v>
      </c>
      <c r="AG31" s="95">
        <v>15.7</v>
      </c>
      <c r="AM31" s="118" t="s">
        <v>327</v>
      </c>
      <c r="AN31" s="109">
        <f>(AN29-AN30)/AN30</f>
        <v>1.3967366918845123E-3</v>
      </c>
      <c r="AO31" s="109">
        <f t="shared" ref="AO31:AS31" si="3">(AO29-AO30)/AO30</f>
        <v>1.0856992295361311E-2</v>
      </c>
      <c r="AP31" s="109">
        <f t="shared" si="3"/>
        <v>-2.3575110071411106E-2</v>
      </c>
      <c r="AQ31" s="109">
        <f t="shared" si="3"/>
        <v>4.4504450126172032E-3</v>
      </c>
      <c r="AR31" s="109">
        <f t="shared" si="3"/>
        <v>1.3817802245744788E-3</v>
      </c>
      <c r="AS31" s="109">
        <f t="shared" si="3"/>
        <v>2.5389819622672307E-2</v>
      </c>
      <c r="AT31" s="109">
        <f t="shared" ref="AT31" si="4">(AT29-AT30)/AT30</f>
        <v>1.6113511821496885E-2</v>
      </c>
      <c r="AU31" s="109">
        <f t="shared" ref="AU31" si="5">(AU29-AU30)/AU30</f>
        <v>1.3555575343115141E-2</v>
      </c>
      <c r="AV31" s="109">
        <f t="shared" ref="AV31" si="6">(AV29-AV30)/AV30</f>
        <v>1.6359465832501769E-2</v>
      </c>
      <c r="AW31" s="109">
        <f t="shared" ref="AW31" si="7">(AW29-AW30)/AW30</f>
        <v>1.0112573089237187E-2</v>
      </c>
      <c r="AX31" s="109"/>
      <c r="AY31" s="109"/>
    </row>
    <row r="32" spans="1:56" x14ac:dyDescent="0.25">
      <c r="A32" s="3">
        <v>45495</v>
      </c>
      <c r="B32" s="5" t="s">
        <v>192</v>
      </c>
      <c r="C32" s="112" t="s">
        <v>284</v>
      </c>
      <c r="D32" s="57">
        <v>23</v>
      </c>
      <c r="E32" s="5" t="s">
        <v>16</v>
      </c>
      <c r="F32" s="57">
        <v>10</v>
      </c>
      <c r="G32" s="20">
        <v>3103.68</v>
      </c>
      <c r="H32" s="55"/>
      <c r="I32" s="49"/>
      <c r="M32" s="94" t="str">
        <f>[1]!s_info_name(N32)</f>
        <v>奇富科技</v>
      </c>
      <c r="N32" s="94" t="s">
        <v>192</v>
      </c>
      <c r="O32" s="95">
        <v>141.65740799999998</v>
      </c>
      <c r="P32" s="95">
        <v>139.21273599999998</v>
      </c>
      <c r="Q32" s="95">
        <v>134.94250499999998</v>
      </c>
      <c r="R32" s="95">
        <v>137.21006</v>
      </c>
      <c r="S32" s="95">
        <v>137.24853999999999</v>
      </c>
      <c r="V32" s="95">
        <v>18.93</v>
      </c>
      <c r="W32" s="111">
        <f>AQ29*AF7</f>
        <v>140.55528198573697</v>
      </c>
      <c r="X32" s="49">
        <f t="shared" si="1"/>
        <v>3232.7714856719504</v>
      </c>
      <c r="AD32" s="94" t="str">
        <f>[1]!s_info_name(AE32)</f>
        <v>爱奇艺</v>
      </c>
      <c r="AE32" s="94" t="s">
        <v>29</v>
      </c>
      <c r="AF32" s="95">
        <v>3.645</v>
      </c>
      <c r="AG32" s="95">
        <v>3.5</v>
      </c>
      <c r="AM32" s="118" t="s">
        <v>363</v>
      </c>
      <c r="AN32" s="129" t="s">
        <v>422</v>
      </c>
      <c r="AO32" s="130">
        <v>12439771.949999999</v>
      </c>
      <c r="AP32" s="130">
        <v>5038487.09</v>
      </c>
      <c r="AQ32" s="130">
        <v>5038487.09</v>
      </c>
      <c r="AR32" s="130">
        <v>17236639.07</v>
      </c>
      <c r="AS32" s="130">
        <v>1369697.51</v>
      </c>
      <c r="AT32" s="130">
        <v>130364424.53</v>
      </c>
      <c r="AU32" s="130">
        <v>22579395.140000001</v>
      </c>
      <c r="AV32" s="130">
        <v>29853100.219999999</v>
      </c>
      <c r="AW32" s="130">
        <v>41572898.390000001</v>
      </c>
      <c r="AX32" s="109"/>
      <c r="AY32" s="109"/>
    </row>
    <row r="33" spans="1:51" x14ac:dyDescent="0.25">
      <c r="A33" s="3">
        <v>45495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5373.11</v>
      </c>
      <c r="H33" s="55"/>
      <c r="I33" s="49"/>
      <c r="M33" s="94" t="str">
        <f>[1]!s_info_name(N33)</f>
        <v>好未来</v>
      </c>
      <c r="N33" s="94" t="s">
        <v>22</v>
      </c>
      <c r="O33" s="95">
        <v>71.328000000000003</v>
      </c>
      <c r="P33" s="95">
        <v>71.531953999999985</v>
      </c>
      <c r="Q33" s="95">
        <v>71.641424999999998</v>
      </c>
      <c r="R33" s="95">
        <v>71.956834999999998</v>
      </c>
      <c r="S33" s="95">
        <v>71.977015000000009</v>
      </c>
      <c r="V33" s="95">
        <v>10.050000000000001</v>
      </c>
      <c r="W33" s="49">
        <f>V33*(1+$AY$28)*$AF$7</f>
        <v>74.034164979671957</v>
      </c>
      <c r="X33" s="49">
        <f t="shared" si="1"/>
        <v>5552.5623734753972</v>
      </c>
      <c r="AD33" s="94" t="str">
        <f>[1]!s_info_name(AE33)</f>
        <v>陆金所控股</v>
      </c>
      <c r="AE33" s="94" t="s">
        <v>180</v>
      </c>
      <c r="AF33" s="95">
        <v>2.75</v>
      </c>
      <c r="AG33" s="95">
        <v>2.81</v>
      </c>
      <c r="AM33" s="118" t="s">
        <v>370</v>
      </c>
      <c r="AN33" s="109">
        <f>AN32/$AX$28</f>
        <v>9.1100738700772288E-3</v>
      </c>
      <c r="AO33" s="109">
        <f t="shared" ref="AO33:AW33" si="8">AO32/$AX$28</f>
        <v>4.6855384470218107E-2</v>
      </c>
      <c r="AP33" s="109">
        <f t="shared" si="8"/>
        <v>1.8977859939802225E-2</v>
      </c>
      <c r="AQ33" s="109">
        <f t="shared" si="8"/>
        <v>1.8977859939802225E-2</v>
      </c>
      <c r="AR33" s="109">
        <f t="shared" si="8"/>
        <v>6.4923163691857924E-2</v>
      </c>
      <c r="AS33" s="109">
        <f t="shared" si="8"/>
        <v>5.1590739522319306E-3</v>
      </c>
      <c r="AT33" s="109">
        <f t="shared" si="8"/>
        <v>0.49102791089284259</v>
      </c>
      <c r="AU33" s="109">
        <f t="shared" si="8"/>
        <v>8.5047076798676707E-2</v>
      </c>
      <c r="AV33" s="109">
        <f t="shared" si="8"/>
        <v>0.11244406200196079</v>
      </c>
      <c r="AW33" s="109">
        <f t="shared" si="8"/>
        <v>0.15658760831260748</v>
      </c>
      <c r="AX33" s="109"/>
      <c r="AY33" s="109"/>
    </row>
    <row r="34" spans="1:51" x14ac:dyDescent="0.25">
      <c r="A34" s="3">
        <v>45495</v>
      </c>
      <c r="B34" s="5" t="s">
        <v>153</v>
      </c>
      <c r="C34" s="112" t="s">
        <v>154</v>
      </c>
      <c r="D34" s="57">
        <v>100</v>
      </c>
      <c r="E34" s="5" t="s">
        <v>16</v>
      </c>
      <c r="F34" s="57">
        <v>10</v>
      </c>
      <c r="G34" s="20">
        <v>10293.549999999999</v>
      </c>
      <c r="H34" s="55"/>
      <c r="I34" s="49"/>
      <c r="M34" s="94" t="str">
        <f>[1]!s_info_name(N34)</f>
        <v>腾讯音乐</v>
      </c>
      <c r="N34" s="94" t="s">
        <v>153</v>
      </c>
      <c r="O34" s="95">
        <v>107.919264</v>
      </c>
      <c r="P34" s="95">
        <v>105.33668599999999</v>
      </c>
      <c r="Q34" s="95">
        <v>102.93553999999999</v>
      </c>
      <c r="R34" s="95">
        <v>101.69519</v>
      </c>
      <c r="S34" s="95">
        <v>101.72371000000001</v>
      </c>
      <c r="V34" s="95">
        <v>14.44</v>
      </c>
      <c r="W34" s="111">
        <f>AR29*AF7</f>
        <v>103.85628854479569</v>
      </c>
      <c r="X34" s="49">
        <f t="shared" si="1"/>
        <v>10385.628854479568</v>
      </c>
      <c r="AD34" s="94" t="str">
        <f>[1]!s_info_name(AE34)</f>
        <v>拼多多</v>
      </c>
      <c r="AE34" s="94" t="s">
        <v>150</v>
      </c>
      <c r="AF34" s="95">
        <v>132.08000000000001</v>
      </c>
      <c r="AG34" s="95">
        <v>133.04</v>
      </c>
    </row>
    <row r="35" spans="1:51" x14ac:dyDescent="0.25">
      <c r="A35" s="3">
        <v>45495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5536.85</v>
      </c>
      <c r="H35" s="55"/>
      <c r="I35" s="49"/>
      <c r="M35" s="94" t="str">
        <f>[1]!s_info_name(N35)</f>
        <v>唯品会</v>
      </c>
      <c r="N35" s="94" t="s">
        <v>24</v>
      </c>
      <c r="O35" s="95">
        <v>97.576703999999992</v>
      </c>
      <c r="P35" s="95">
        <v>98.133567999999983</v>
      </c>
      <c r="Q35" s="95">
        <v>98.872294999999994</v>
      </c>
      <c r="R35" s="95">
        <v>97.273660000000007</v>
      </c>
      <c r="S35" s="95">
        <v>97.300940000000011</v>
      </c>
      <c r="V35" s="95">
        <v>13.87</v>
      </c>
      <c r="W35" s="49">
        <f>V35*(1+$AY$28)*$AF$7</f>
        <v>102.17451425552736</v>
      </c>
      <c r="X35" s="49">
        <f t="shared" si="1"/>
        <v>5721.7727983095319</v>
      </c>
      <c r="AD35" s="94" t="str">
        <f>[1]!s_info_name(AE35)</f>
        <v>奇富科技</v>
      </c>
      <c r="AE35" s="94" t="s">
        <v>192</v>
      </c>
      <c r="AF35" s="95">
        <v>18.93</v>
      </c>
      <c r="AG35" s="95">
        <v>19.239999999999998</v>
      </c>
    </row>
    <row r="36" spans="1:51" x14ac:dyDescent="0.25">
      <c r="A36" s="3">
        <v>45495</v>
      </c>
      <c r="B36" s="5" t="s">
        <v>26</v>
      </c>
      <c r="C36" s="112" t="s">
        <v>27</v>
      </c>
      <c r="D36" s="57">
        <v>14</v>
      </c>
      <c r="E36" s="5" t="s">
        <v>17</v>
      </c>
      <c r="F36" s="57">
        <v>0</v>
      </c>
      <c r="G36" s="20">
        <v>788.41</v>
      </c>
      <c r="H36" s="55"/>
      <c r="I36" s="49"/>
      <c r="M36" s="94" t="str">
        <f>[1]!s_info_name(N36)</f>
        <v>微博</v>
      </c>
      <c r="N36" s="94" t="s">
        <v>26</v>
      </c>
      <c r="O36" s="95">
        <v>58.774271999999996</v>
      </c>
      <c r="P36" s="95">
        <v>56.626491999999999</v>
      </c>
      <c r="Q36" s="95">
        <v>56.315150000000003</v>
      </c>
      <c r="R36" s="95">
        <v>54.555975000000004</v>
      </c>
      <c r="S36" s="95">
        <v>54.571275000000007</v>
      </c>
      <c r="V36" s="95">
        <v>7.9</v>
      </c>
      <c r="W36" s="111">
        <f>AS29*AF7</f>
        <v>57.05110020958508</v>
      </c>
      <c r="X36" s="49">
        <f t="shared" si="1"/>
        <v>798.71540293419116</v>
      </c>
      <c r="AD36" s="94" t="str">
        <f>[1]!s_info_name(AE36)</f>
        <v>好未来</v>
      </c>
      <c r="AE36" s="94" t="s">
        <v>22</v>
      </c>
      <c r="AF36" s="95">
        <v>10.050000000000001</v>
      </c>
      <c r="AG36" s="95">
        <v>10.09</v>
      </c>
    </row>
    <row r="37" spans="1:51" x14ac:dyDescent="0.25">
      <c r="A37" s="3">
        <v>45495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8627.1200000000008</v>
      </c>
      <c r="H37" s="55"/>
      <c r="I37" s="49"/>
      <c r="M37" s="94" t="str">
        <f>[1]!s_info_name(N37)</f>
        <v>满帮集团</v>
      </c>
      <c r="N37" s="94" t="s">
        <v>193</v>
      </c>
      <c r="O37" s="95">
        <v>57.133727999999998</v>
      </c>
      <c r="P37" s="95">
        <v>56.483855999999996</v>
      </c>
      <c r="Q37" s="95">
        <v>56.386434999999999</v>
      </c>
      <c r="R37" s="95">
        <v>56.338850000000001</v>
      </c>
      <c r="S37" s="95">
        <v>56.354650000000007</v>
      </c>
      <c r="V37" s="95">
        <v>7.91</v>
      </c>
      <c r="W37" s="49">
        <f>V37*(1+$AY$28)*$AF$7</f>
        <v>58.269676118328874</v>
      </c>
      <c r="X37" s="49">
        <f t="shared" si="1"/>
        <v>8915.2604461043175</v>
      </c>
      <c r="AD37" s="94" t="str">
        <f>[1]!s_info_name(AE37)</f>
        <v>腾讯音乐</v>
      </c>
      <c r="AE37" s="94" t="s">
        <v>153</v>
      </c>
      <c r="AF37" s="95">
        <v>14.44</v>
      </c>
      <c r="AG37" s="95">
        <v>14.26</v>
      </c>
    </row>
    <row r="38" spans="1:51" x14ac:dyDescent="0.25">
      <c r="A38" s="3">
        <v>45495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1190.82</v>
      </c>
      <c r="H38" s="55"/>
      <c r="I38" s="49"/>
      <c r="M38" s="94" t="str">
        <f>[1]!s_info_name(N38)</f>
        <v>欢聚</v>
      </c>
      <c r="N38" s="94" t="s">
        <v>28</v>
      </c>
      <c r="O38" s="95">
        <v>244.441056</v>
      </c>
      <c r="P38" s="95">
        <v>240.91220399999997</v>
      </c>
      <c r="Q38" s="95">
        <v>238.16318499999997</v>
      </c>
      <c r="R38" s="95">
        <v>240.117605</v>
      </c>
      <c r="S38" s="95">
        <v>240.18494500000003</v>
      </c>
      <c r="V38" s="95">
        <v>33.409999999999997</v>
      </c>
      <c r="W38" s="49">
        <f>V38*(1+$AY$28)*$AF$7</f>
        <v>246.11755741003381</v>
      </c>
      <c r="X38" s="49">
        <f t="shared" si="1"/>
        <v>1230.587787050169</v>
      </c>
      <c r="AD38" s="94" t="str">
        <f>[1]!s_info_name(AE38)</f>
        <v>唯品会</v>
      </c>
      <c r="AE38" s="94" t="s">
        <v>24</v>
      </c>
      <c r="AF38" s="95">
        <v>13.87</v>
      </c>
      <c r="AG38" s="95">
        <v>13.64</v>
      </c>
    </row>
    <row r="39" spans="1:51" x14ac:dyDescent="0.25">
      <c r="A39"/>
      <c r="B39"/>
      <c r="C39"/>
      <c r="D39"/>
      <c r="E39"/>
      <c r="F39"/>
      <c r="G39" s="91"/>
      <c r="H39" s="56"/>
      <c r="I39" s="56"/>
      <c r="AD39" s="94" t="str">
        <f>[1]!s_info_name(AE39)</f>
        <v>微博</v>
      </c>
      <c r="AE39" s="94" t="s">
        <v>26</v>
      </c>
      <c r="AF39" s="95">
        <v>7.9</v>
      </c>
      <c r="AG39" s="95">
        <v>7.65</v>
      </c>
    </row>
    <row r="40" spans="1:51" x14ac:dyDescent="0.25">
      <c r="A40"/>
      <c r="B40"/>
      <c r="C40"/>
      <c r="D40"/>
      <c r="E40"/>
      <c r="F40"/>
      <c r="G40"/>
      <c r="H40" s="70"/>
      <c r="I40" s="70"/>
      <c r="AD40" s="94" t="str">
        <f>[1]!s_info_name(AE40)</f>
        <v>满帮集团</v>
      </c>
      <c r="AE40" s="94" t="s">
        <v>193</v>
      </c>
      <c r="AF40" s="95">
        <v>7.91</v>
      </c>
      <c r="AG40" s="95">
        <v>7.9</v>
      </c>
    </row>
    <row r="41" spans="1:51" x14ac:dyDescent="0.25">
      <c r="C41" s="111" t="s">
        <v>387</v>
      </c>
      <c r="G41" s="113" t="s">
        <v>386</v>
      </c>
      <c r="AD41" s="94" t="str">
        <f>[1]!s_info_name(AE41)</f>
        <v>欢聚</v>
      </c>
      <c r="AE41" s="94" t="s">
        <v>28</v>
      </c>
      <c r="AF41" s="95">
        <v>33.409999999999997</v>
      </c>
      <c r="AG41" s="95">
        <v>33.67</v>
      </c>
    </row>
    <row r="42" spans="1:51" x14ac:dyDescent="0.25">
      <c r="O42" s="94"/>
      <c r="P42" s="94"/>
      <c r="Q42" s="50"/>
      <c r="R42" s="50"/>
    </row>
    <row r="43" spans="1:51" x14ac:dyDescent="0.25">
      <c r="M43" s="94"/>
      <c r="N43" s="94"/>
      <c r="O43" s="94"/>
      <c r="P43" s="94"/>
      <c r="Q43" s="95"/>
      <c r="R43" s="95"/>
    </row>
    <row r="44" spans="1:51" x14ac:dyDescent="0.25">
      <c r="O44" s="94"/>
      <c r="P44" s="94"/>
      <c r="Q44" s="95"/>
      <c r="R44" s="94" t="s">
        <v>323</v>
      </c>
      <c r="AE44" s="94"/>
      <c r="AN44" s="94" t="s">
        <v>2</v>
      </c>
      <c r="AO44" s="94" t="s">
        <v>325</v>
      </c>
      <c r="AP44" s="50">
        <v>45488</v>
      </c>
      <c r="AQ44" s="50">
        <v>45489</v>
      </c>
      <c r="AR44" s="50">
        <v>45490</v>
      </c>
      <c r="AS44" s="50">
        <v>45491</v>
      </c>
      <c r="AT44" s="50">
        <v>45492</v>
      </c>
      <c r="AU44" s="50">
        <v>45495</v>
      </c>
    </row>
    <row r="45" spans="1:51" x14ac:dyDescent="0.25">
      <c r="O45" s="94"/>
      <c r="P45" s="94"/>
      <c r="Q45" s="95"/>
      <c r="R45" s="94" t="s">
        <v>324</v>
      </c>
      <c r="AE45" s="94"/>
      <c r="AJ45" s="94" t="s">
        <v>323</v>
      </c>
      <c r="AK45" s="94" t="s">
        <v>324</v>
      </c>
      <c r="AL45" s="94"/>
      <c r="AN45" s="94" t="str">
        <f>[1]!s_info_name(AO45)</f>
        <v>阿里健康</v>
      </c>
      <c r="AO45" s="94" t="s">
        <v>321</v>
      </c>
      <c r="AP45" s="95">
        <f>[1]!WSD(AO45:AO49,AK45,"2024-07-14","","TradingCalendar=SSE","Currency=CNY","rptType=1","Direction=V","ShowParams=Y","cols=6;rows=5")</f>
        <v>2.9500558999999997</v>
      </c>
      <c r="AQ45" s="95">
        <v>2.8780919999999997</v>
      </c>
      <c r="AR45" s="95">
        <v>3.1244436000000002</v>
      </c>
      <c r="AS45" s="95">
        <v>3.0956462999999999</v>
      </c>
      <c r="AT45" s="95">
        <v>3.0132630000000002</v>
      </c>
      <c r="AU45" s="95">
        <v>3.0139889999999996</v>
      </c>
    </row>
    <row r="46" spans="1:51" x14ac:dyDescent="0.25">
      <c r="O46" s="94"/>
      <c r="P46" s="94"/>
      <c r="Q46" s="94" t="s">
        <v>2</v>
      </c>
      <c r="R46" s="94" t="str">
        <f>[1]!s_info_name(R47)</f>
        <v>拼多多</v>
      </c>
      <c r="S46" s="94" t="str">
        <f>[1]!s_info_name(S47)</f>
        <v>微博-SW</v>
      </c>
      <c r="T46" s="94" t="str">
        <f>[1]!s_info_name(T47)</f>
        <v>爱奇艺</v>
      </c>
      <c r="U46" s="94" t="str">
        <f>[1]!s_info_name(U47)</f>
        <v>京东集团-SW</v>
      </c>
      <c r="V46" s="94" t="str">
        <f>[1]!s_info_name(V47)</f>
        <v>平安好医生</v>
      </c>
      <c r="W46" s="94"/>
      <c r="X46" s="94"/>
      <c r="Y46" s="94"/>
      <c r="Z46" s="94"/>
      <c r="AA46" s="94"/>
      <c r="AB46" s="94"/>
      <c r="AC46" s="94"/>
      <c r="AD46" s="94"/>
      <c r="AE46" s="95"/>
      <c r="AF46" s="94"/>
      <c r="AG46" s="94"/>
      <c r="AN46" s="94" t="str">
        <f>[1]!s_info_name(AO46)</f>
        <v>腾讯控股</v>
      </c>
      <c r="AO46" s="94" t="s">
        <v>164</v>
      </c>
      <c r="AP46" s="95">
        <v>356.38136599999996</v>
      </c>
      <c r="AQ46" s="95">
        <v>345.37103999999999</v>
      </c>
      <c r="AR46" s="95">
        <v>339.66904400000004</v>
      </c>
      <c r="AS46" s="95">
        <v>337.14236399999999</v>
      </c>
      <c r="AT46" s="95">
        <v>332.37204000000003</v>
      </c>
      <c r="AU46" s="95">
        <v>332.45211999999998</v>
      </c>
    </row>
    <row r="47" spans="1:51" x14ac:dyDescent="0.25">
      <c r="Q47" s="94" t="s">
        <v>325</v>
      </c>
      <c r="R47" s="94" t="s">
        <v>150</v>
      </c>
      <c r="S47" s="94" t="s">
        <v>326</v>
      </c>
      <c r="T47" s="94" t="s">
        <v>29</v>
      </c>
      <c r="U47" s="94" t="s">
        <v>253</v>
      </c>
      <c r="V47" s="94" t="s">
        <v>166</v>
      </c>
      <c r="W47" s="94"/>
      <c r="X47" s="94"/>
      <c r="Y47" s="94"/>
      <c r="Z47" s="94"/>
      <c r="AA47" s="94"/>
      <c r="AB47" s="94"/>
      <c r="AC47" s="94"/>
      <c r="AD47" s="94"/>
      <c r="AE47" s="95"/>
      <c r="AF47" s="94"/>
      <c r="AG47" s="94"/>
      <c r="AN47" s="94" t="str">
        <f>[1]!s_info_name(AO47)</f>
        <v>汽车之家</v>
      </c>
      <c r="AO47" s="94" t="s">
        <v>20</v>
      </c>
      <c r="AP47" s="95">
        <v>195.11236799999998</v>
      </c>
      <c r="AQ47" s="95">
        <v>199.57574399999999</v>
      </c>
      <c r="AR47" s="95">
        <v>198.26403999999999</v>
      </c>
      <c r="AS47" s="95">
        <v>189.76067</v>
      </c>
      <c r="AT47" s="95">
        <v>179.85642999999999</v>
      </c>
      <c r="AU47" s="95">
        <v>179.90687</v>
      </c>
    </row>
    <row r="48" spans="1:51" x14ac:dyDescent="0.25">
      <c r="Q48" s="50">
        <v>45489</v>
      </c>
      <c r="R48" s="95">
        <f>[1]!WSD(R47:AD47,R45,"2024-07-16","","TradingCalendar=SSE","rptType=1","ShowParams=Y","cols=5;rows=5")</f>
        <v>135.84</v>
      </c>
      <c r="S48" s="95">
        <v>62.95</v>
      </c>
      <c r="T48" s="95">
        <v>3.75</v>
      </c>
      <c r="U48" s="95">
        <v>104.5</v>
      </c>
      <c r="V48" s="95">
        <v>10.4</v>
      </c>
      <c r="W48" s="95"/>
      <c r="X48" s="95"/>
      <c r="Y48" s="95"/>
      <c r="Z48" s="95"/>
      <c r="AA48" s="95"/>
      <c r="AB48" s="95"/>
      <c r="AC48" s="95"/>
      <c r="AD48" s="95"/>
      <c r="AF48" s="95"/>
      <c r="AG48" s="95"/>
      <c r="AN48" s="94" t="str">
        <f>[1]!s_info_name(AO48)</f>
        <v>陆金所控股</v>
      </c>
      <c r="AO48" s="94" t="s">
        <v>180</v>
      </c>
      <c r="AP48" s="95">
        <v>20.538143999999999</v>
      </c>
      <c r="AQ48" s="95">
        <v>20.185824</v>
      </c>
      <c r="AR48" s="95">
        <v>19.327177999999996</v>
      </c>
      <c r="AS48" s="95">
        <v>19.603375</v>
      </c>
      <c r="AT48" s="95">
        <v>20.039515000000002</v>
      </c>
      <c r="AU48" s="95">
        <v>20.045135000000002</v>
      </c>
    </row>
    <row r="49" spans="17:47" x14ac:dyDescent="0.25">
      <c r="Q49" s="50">
        <v>45490</v>
      </c>
      <c r="R49" s="95">
        <v>131.82</v>
      </c>
      <c r="S49" s="95">
        <v>63.2</v>
      </c>
      <c r="T49" s="95">
        <v>3.66</v>
      </c>
      <c r="U49" s="95">
        <v>106.7</v>
      </c>
      <c r="V49" s="95">
        <v>11.4</v>
      </c>
      <c r="W49" s="95"/>
      <c r="X49" s="95"/>
      <c r="Y49" s="95"/>
      <c r="Z49" s="95"/>
      <c r="AA49" s="95"/>
      <c r="AB49" s="95"/>
      <c r="AC49" s="95"/>
      <c r="AD49" s="95"/>
      <c r="AF49" s="95"/>
      <c r="AG49" s="95"/>
      <c r="AN49" s="94" t="str">
        <f>[1]!s_info_name(AO49)</f>
        <v>微博</v>
      </c>
      <c r="AO49" s="94" t="s">
        <v>26</v>
      </c>
      <c r="AP49" s="95">
        <v>57.620903999999996</v>
      </c>
      <c r="AQ49" s="95">
        <v>58.774271999999996</v>
      </c>
      <c r="AR49" s="95">
        <v>56.626491999999999</v>
      </c>
      <c r="AS49" s="95">
        <v>56.315150000000003</v>
      </c>
      <c r="AT49" s="95">
        <v>54.555975000000004</v>
      </c>
      <c r="AU49" s="95">
        <v>54.571275000000007</v>
      </c>
    </row>
    <row r="50" spans="17:47" x14ac:dyDescent="0.25">
      <c r="Q50" s="50">
        <v>45491</v>
      </c>
      <c r="R50" s="95">
        <v>132.08000000000001</v>
      </c>
      <c r="S50" s="95">
        <v>62.65</v>
      </c>
      <c r="T50" s="95">
        <v>3.645</v>
      </c>
      <c r="U50" s="95">
        <v>106.2</v>
      </c>
      <c r="V50" s="95">
        <v>11.38</v>
      </c>
      <c r="W50" s="95"/>
    </row>
    <row r="51" spans="17:47" x14ac:dyDescent="0.25">
      <c r="Q51" s="50">
        <v>45492</v>
      </c>
      <c r="R51" s="95">
        <v>133.04</v>
      </c>
      <c r="S51" s="95">
        <v>61.65</v>
      </c>
      <c r="T51" s="95">
        <v>3.5</v>
      </c>
      <c r="U51" s="95">
        <v>102.7</v>
      </c>
      <c r="V51" s="95">
        <v>11.08</v>
      </c>
      <c r="W51" s="95"/>
    </row>
    <row r="52" spans="17:47" x14ac:dyDescent="0.25">
      <c r="Q52" s="50">
        <v>45495</v>
      </c>
      <c r="R52" s="95">
        <v>133.04</v>
      </c>
      <c r="S52" s="95">
        <v>61.65</v>
      </c>
      <c r="T52" s="95">
        <v>3.5</v>
      </c>
      <c r="U52" s="95">
        <v>102.7</v>
      </c>
      <c r="V52" s="95">
        <v>11.08</v>
      </c>
    </row>
    <row r="59" spans="17:47" x14ac:dyDescent="0.25">
      <c r="V59" s="94" t="s">
        <v>330</v>
      </c>
      <c r="W59" s="94" t="s">
        <v>321</v>
      </c>
    </row>
    <row r="60" spans="17:47" x14ac:dyDescent="0.25">
      <c r="V60" s="94" t="s">
        <v>332</v>
      </c>
      <c r="W60" s="94" t="s">
        <v>383</v>
      </c>
    </row>
    <row r="61" spans="17:47" x14ac:dyDescent="0.25">
      <c r="V61" s="94" t="s">
        <v>334</v>
      </c>
      <c r="W61" s="97">
        <f>RTD("wdf.rtq", ,"0241.HK", "rt_last","RT_Price")</f>
        <v>3.33</v>
      </c>
    </row>
  </sheetData>
  <phoneticPr fontId="1" type="noConversion"/>
  <conditionalFormatting sqref="G6:G38">
    <cfRule type="top10" dxfId="1" priority="2" rank="10"/>
  </conditionalFormatting>
  <conditionalFormatting sqref="G41">
    <cfRule type="top10" dxfId="0" priority="1" rank="10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K10" sqref="K10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322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45490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132054.56</v>
      </c>
      <c r="I6" s="105">
        <f>[1]!s_dq_close(B6,$F$2,1)</f>
        <v>234.82</v>
      </c>
      <c r="J6" s="4">
        <f>[1]!s_dq_high(B6,$F$2,1)</f>
        <v>236.27</v>
      </c>
    </row>
    <row r="7" spans="1:11" x14ac:dyDescent="0.25">
      <c r="A7" s="3">
        <v>45490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6299.22</v>
      </c>
      <c r="I7" s="105" t="s">
        <v>379</v>
      </c>
      <c r="J7" s="4" t="s">
        <v>382</v>
      </c>
    </row>
    <row r="8" spans="1:11" x14ac:dyDescent="0.25">
      <c r="A8" s="3">
        <v>45490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24205.49</v>
      </c>
      <c r="I8" s="105" t="s">
        <v>379</v>
      </c>
      <c r="J8" s="4" t="s">
        <v>382</v>
      </c>
    </row>
    <row r="9" spans="1:11" x14ac:dyDescent="0.25">
      <c r="A9" s="3">
        <v>45490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11866.77</v>
      </c>
      <c r="I9" s="105" t="s">
        <v>379</v>
      </c>
      <c r="J9" s="4" t="s">
        <v>382</v>
      </c>
    </row>
    <row r="10" spans="1:11" x14ac:dyDescent="0.25">
      <c r="A10" s="3">
        <v>45490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8651.69</v>
      </c>
      <c r="I10" s="105" t="s">
        <v>391</v>
      </c>
      <c r="J10" s="4" t="s">
        <v>379</v>
      </c>
    </row>
    <row r="11" spans="1:11" ht="100" x14ac:dyDescent="0.25">
      <c r="A11" s="3">
        <v>45490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5416.29</v>
      </c>
      <c r="I11" s="114" t="s">
        <v>391</v>
      </c>
      <c r="J11" s="115" t="s">
        <v>379</v>
      </c>
    </row>
    <row r="12" spans="1:11" x14ac:dyDescent="0.25">
      <c r="A12" s="3">
        <v>45490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4539.6400000000003</v>
      </c>
      <c r="I12" s="105" t="s">
        <v>391</v>
      </c>
      <c r="J12" s="4" t="s">
        <v>379</v>
      </c>
    </row>
    <row r="13" spans="1:11" x14ac:dyDescent="0.25">
      <c r="A13" s="3">
        <v>45490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19262</v>
      </c>
      <c r="I13" s="105" t="s">
        <v>391</v>
      </c>
      <c r="J13" s="4" t="s">
        <v>379</v>
      </c>
    </row>
    <row r="14" spans="1:11" x14ac:dyDescent="0.25">
      <c r="A14" s="3">
        <v>45490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28213.279999999999</v>
      </c>
      <c r="I14" s="105" t="s">
        <v>391</v>
      </c>
      <c r="J14" s="4" t="s">
        <v>379</v>
      </c>
    </row>
    <row r="15" spans="1:11" x14ac:dyDescent="0.25">
      <c r="A15" s="3">
        <v>45490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16480.79</v>
      </c>
      <c r="I15" s="105" t="s">
        <v>391</v>
      </c>
      <c r="J15" s="4" t="s">
        <v>379</v>
      </c>
    </row>
    <row r="16" spans="1:11" x14ac:dyDescent="0.25">
      <c r="A16" s="3">
        <v>45490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74214.58</v>
      </c>
      <c r="I16" s="105" t="e">
        <f t="shared" ref="I15:I70" ca="1" si="0">[2]!s_dq_close(B16,$F$2,1)</f>
        <v>#NAME?</v>
      </c>
      <c r="J16" s="4" t="e">
        <f t="shared" ref="J15:J70" ca="1" si="1">[2]!s_dq_high(B16,$F$2,1)</f>
        <v>#NAME?</v>
      </c>
    </row>
    <row r="17" spans="1:10" x14ac:dyDescent="0.25">
      <c r="A17" s="3">
        <v>45490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2335.2199999999998</v>
      </c>
      <c r="I17" s="105" t="e">
        <f t="shared" ca="1" si="0"/>
        <v>#NAME?</v>
      </c>
      <c r="J17" s="4" t="e">
        <f t="shared" ca="1" si="1"/>
        <v>#NAME?</v>
      </c>
    </row>
    <row r="18" spans="1:10" x14ac:dyDescent="0.25">
      <c r="A18" s="3">
        <v>45490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2532.04</v>
      </c>
      <c r="I18" s="105" t="e">
        <f t="shared" ca="1" si="0"/>
        <v>#NAME?</v>
      </c>
      <c r="J18" s="4" t="e">
        <f t="shared" ca="1" si="1"/>
        <v>#NAME?</v>
      </c>
    </row>
    <row r="19" spans="1:10" x14ac:dyDescent="0.25">
      <c r="A19" s="3">
        <v>45490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7585.06</v>
      </c>
      <c r="I19" s="105" t="e">
        <f t="shared" ca="1" si="0"/>
        <v>#NAME?</v>
      </c>
      <c r="J19" s="4" t="e">
        <f t="shared" ca="1" si="1"/>
        <v>#NAME?</v>
      </c>
    </row>
    <row r="20" spans="1:10" x14ac:dyDescent="0.25">
      <c r="A20" s="3">
        <v>45490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75791.740000000005</v>
      </c>
      <c r="I20" s="105" t="e">
        <f t="shared" ca="1" si="0"/>
        <v>#NAME?</v>
      </c>
      <c r="J20" s="4" t="e">
        <f t="shared" ca="1" si="1"/>
        <v>#NAME?</v>
      </c>
    </row>
    <row r="21" spans="1:10" x14ac:dyDescent="0.25">
      <c r="A21" s="3">
        <v>45490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4456.78</v>
      </c>
      <c r="I21" s="105" t="e">
        <f t="shared" ca="1" si="0"/>
        <v>#NAME?</v>
      </c>
      <c r="J21" s="4" t="e">
        <f t="shared" ca="1" si="1"/>
        <v>#NAME?</v>
      </c>
    </row>
    <row r="22" spans="1:10" x14ac:dyDescent="0.25">
      <c r="A22" s="3">
        <v>45490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3160.31</v>
      </c>
      <c r="I22" s="105" t="e">
        <f t="shared" ca="1" si="0"/>
        <v>#NAME?</v>
      </c>
      <c r="J22" s="4" t="e">
        <f t="shared" ca="1" si="1"/>
        <v>#NAME?</v>
      </c>
    </row>
    <row r="23" spans="1:10" x14ac:dyDescent="0.25">
      <c r="A23" s="3">
        <v>45490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5" t="e">
        <f t="shared" ca="1" si="0"/>
        <v>#NAME?</v>
      </c>
      <c r="J23" s="4" t="e">
        <f t="shared" ca="1" si="1"/>
        <v>#NAME?</v>
      </c>
    </row>
    <row r="24" spans="1:10" x14ac:dyDescent="0.25">
      <c r="A24" s="3">
        <v>45490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3310.56</v>
      </c>
      <c r="I24" s="105" t="e">
        <f t="shared" ca="1" si="0"/>
        <v>#NAME?</v>
      </c>
      <c r="J24" s="4" t="e">
        <f t="shared" ca="1" si="1"/>
        <v>#NAME?</v>
      </c>
    </row>
    <row r="25" spans="1:10" x14ac:dyDescent="0.25">
      <c r="A25" s="3">
        <v>45490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3123.08</v>
      </c>
      <c r="I25" s="105" t="e">
        <f t="shared" ca="1" si="0"/>
        <v>#NAME?</v>
      </c>
      <c r="J25" s="4" t="e">
        <f t="shared" ca="1" si="1"/>
        <v>#NAME?</v>
      </c>
    </row>
    <row r="26" spans="1:10" x14ac:dyDescent="0.25">
      <c r="A26" s="3">
        <v>45490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9003.41</v>
      </c>
      <c r="I26" s="105" t="e">
        <f t="shared" ca="1" si="0"/>
        <v>#NAME?</v>
      </c>
      <c r="J26" s="4" t="e">
        <f t="shared" ca="1" si="1"/>
        <v>#NAME?</v>
      </c>
    </row>
    <row r="27" spans="1:10" x14ac:dyDescent="0.25">
      <c r="A27" s="3">
        <v>45490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3319.91</v>
      </c>
      <c r="I27" s="105" t="e">
        <f t="shared" ca="1" si="0"/>
        <v>#NAME?</v>
      </c>
      <c r="J27" s="4" t="e">
        <f t="shared" ca="1" si="1"/>
        <v>#NAME?</v>
      </c>
    </row>
    <row r="28" spans="1:10" x14ac:dyDescent="0.25">
      <c r="A28" s="3">
        <v>45490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6072.44</v>
      </c>
      <c r="I28" s="105" t="e">
        <f t="shared" ca="1" si="0"/>
        <v>#NAME?</v>
      </c>
      <c r="J28" s="4" t="e">
        <f t="shared" ca="1" si="1"/>
        <v>#NAME?</v>
      </c>
    </row>
    <row r="29" spans="1:10" x14ac:dyDescent="0.25">
      <c r="A29" s="3">
        <v>45490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4629.5</v>
      </c>
      <c r="I29" s="105" t="e">
        <f t="shared" ca="1" si="0"/>
        <v>#NAME?</v>
      </c>
      <c r="J29" s="4" t="e">
        <f t="shared" ca="1" si="1"/>
        <v>#NAME?</v>
      </c>
    </row>
    <row r="30" spans="1:10" x14ac:dyDescent="0.25">
      <c r="A30" s="3">
        <v>45490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14440.03</v>
      </c>
      <c r="I30" s="105" t="e">
        <f t="shared" ca="1" si="0"/>
        <v>#NAME?</v>
      </c>
      <c r="J30" s="4" t="e">
        <f t="shared" ca="1" si="1"/>
        <v>#NAME?</v>
      </c>
    </row>
    <row r="31" spans="1:10" x14ac:dyDescent="0.25">
      <c r="A31" s="3">
        <v>45490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36315.29</v>
      </c>
      <c r="I31" s="105" t="e">
        <f t="shared" ca="1" si="0"/>
        <v>#NAME?</v>
      </c>
      <c r="J31" s="4" t="e">
        <f t="shared" ca="1" si="1"/>
        <v>#NAME?</v>
      </c>
    </row>
    <row r="32" spans="1:10" x14ac:dyDescent="0.25">
      <c r="A32" s="3">
        <v>45490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5072.92</v>
      </c>
      <c r="I32" s="105" t="e">
        <f t="shared" ca="1" si="0"/>
        <v>#NAME?</v>
      </c>
      <c r="J32" s="4" t="e">
        <f t="shared" ca="1" si="1"/>
        <v>#NAME?</v>
      </c>
    </row>
    <row r="33" spans="1:10" x14ac:dyDescent="0.25">
      <c r="A33" s="3">
        <v>45490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8073.42</v>
      </c>
      <c r="I33" s="105" t="e">
        <f t="shared" ca="1" si="0"/>
        <v>#NAME?</v>
      </c>
      <c r="J33" s="4" t="e">
        <f t="shared" ca="1" si="1"/>
        <v>#NAME?</v>
      </c>
    </row>
    <row r="34" spans="1:10" x14ac:dyDescent="0.25">
      <c r="A34" s="3">
        <v>45490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18253.28</v>
      </c>
      <c r="I34" s="105" t="e">
        <f t="shared" ca="1" si="0"/>
        <v>#NAME?</v>
      </c>
      <c r="J34" s="4" t="e">
        <f t="shared" ca="1" si="1"/>
        <v>#NAME?</v>
      </c>
    </row>
    <row r="35" spans="1:10" x14ac:dyDescent="0.25">
      <c r="A35" s="3">
        <v>45490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2710.25</v>
      </c>
      <c r="I35" s="105" t="e">
        <f t="shared" ca="1" si="0"/>
        <v>#NAME?</v>
      </c>
      <c r="J35" s="4" t="e">
        <f t="shared" ca="1" si="1"/>
        <v>#NAME?</v>
      </c>
    </row>
    <row r="36" spans="1:10" x14ac:dyDescent="0.25">
      <c r="A36" s="3">
        <v>45490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6415.32</v>
      </c>
      <c r="I36" s="105" t="e">
        <f t="shared" ca="1" si="0"/>
        <v>#NAME?</v>
      </c>
      <c r="J36" s="4" t="e">
        <f t="shared" ca="1" si="1"/>
        <v>#NAME?</v>
      </c>
    </row>
    <row r="37" spans="1:10" x14ac:dyDescent="0.25">
      <c r="A37" s="3">
        <v>45490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5097.8100000000004</v>
      </c>
      <c r="I37" s="105" t="e">
        <f t="shared" ca="1" si="0"/>
        <v>#NAME?</v>
      </c>
      <c r="J37" s="4" t="e">
        <f t="shared" ca="1" si="1"/>
        <v>#NAME?</v>
      </c>
    </row>
    <row r="38" spans="1:10" x14ac:dyDescent="0.25">
      <c r="A38" s="3">
        <v>45490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3615.64</v>
      </c>
      <c r="I38" s="105" t="e">
        <f t="shared" ca="1" si="0"/>
        <v>#NAME?</v>
      </c>
      <c r="J38" s="4" t="e">
        <f t="shared" ca="1" si="1"/>
        <v>#NAME?</v>
      </c>
    </row>
    <row r="39" spans="1:10" x14ac:dyDescent="0.25">
      <c r="A39" s="3">
        <v>45490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3767.11</v>
      </c>
      <c r="I39" s="105" t="e">
        <f t="shared" ca="1" si="0"/>
        <v>#NAME?</v>
      </c>
      <c r="J39" s="4" t="e">
        <f t="shared" ca="1" si="1"/>
        <v>#NAME?</v>
      </c>
    </row>
    <row r="40" spans="1:10" x14ac:dyDescent="0.25">
      <c r="A40" s="3">
        <v>45490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3691.59</v>
      </c>
      <c r="I40" s="105" t="e">
        <f t="shared" ca="1" si="0"/>
        <v>#NAME?</v>
      </c>
      <c r="J40" s="4" t="e">
        <f t="shared" ca="1" si="1"/>
        <v>#NAME?</v>
      </c>
    </row>
    <row r="41" spans="1:10" x14ac:dyDescent="0.25">
      <c r="A41" s="3">
        <v>45490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2221.33</v>
      </c>
      <c r="I41" s="105" t="e">
        <f t="shared" ca="1" si="0"/>
        <v>#NAME?</v>
      </c>
      <c r="J41" s="4" t="e">
        <f t="shared" ca="1" si="1"/>
        <v>#NAME?</v>
      </c>
    </row>
    <row r="42" spans="1:10" x14ac:dyDescent="0.25">
      <c r="A42" s="3">
        <v>45490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4029.54</v>
      </c>
      <c r="I42" s="105" t="e">
        <f t="shared" ca="1" si="0"/>
        <v>#NAME?</v>
      </c>
      <c r="J42" s="4" t="e">
        <f t="shared" ca="1" si="1"/>
        <v>#NAME?</v>
      </c>
    </row>
    <row r="43" spans="1:10" x14ac:dyDescent="0.25">
      <c r="A43" s="3">
        <v>45490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4136.1499999999996</v>
      </c>
      <c r="I43" s="105" t="e">
        <f t="shared" ca="1" si="0"/>
        <v>#NAME?</v>
      </c>
      <c r="J43" s="4" t="e">
        <f t="shared" ca="1" si="1"/>
        <v>#NAME?</v>
      </c>
    </row>
    <row r="44" spans="1:10" x14ac:dyDescent="0.25">
      <c r="A44" s="3">
        <v>45490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3277.19</v>
      </c>
      <c r="I44" s="105" t="e">
        <f t="shared" ca="1" si="0"/>
        <v>#NAME?</v>
      </c>
      <c r="J44" s="4" t="e">
        <f t="shared" ca="1" si="1"/>
        <v>#NAME?</v>
      </c>
    </row>
    <row r="45" spans="1:10" x14ac:dyDescent="0.25">
      <c r="A45" s="3">
        <v>45490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3008.41</v>
      </c>
      <c r="I45" s="105" t="e">
        <f t="shared" ca="1" si="0"/>
        <v>#NAME?</v>
      </c>
      <c r="J45" s="4" t="e">
        <f t="shared" ca="1" si="1"/>
        <v>#NAME?</v>
      </c>
    </row>
    <row r="46" spans="1:10" x14ac:dyDescent="0.25">
      <c r="A46" s="3">
        <v>45490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3869.73</v>
      </c>
      <c r="I46" s="105" t="e">
        <f t="shared" ca="1" si="0"/>
        <v>#NAME?</v>
      </c>
      <c r="J46" s="4" t="e">
        <f t="shared" ca="1" si="1"/>
        <v>#NAME?</v>
      </c>
    </row>
    <row r="47" spans="1:10" x14ac:dyDescent="0.25">
      <c r="A47" s="3">
        <v>45490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4271.6499999999996</v>
      </c>
      <c r="I47" s="105" t="e">
        <f t="shared" ca="1" si="0"/>
        <v>#NAME?</v>
      </c>
      <c r="J47" s="4" t="e">
        <f t="shared" ca="1" si="1"/>
        <v>#NAME?</v>
      </c>
    </row>
    <row r="48" spans="1:10" x14ac:dyDescent="0.25">
      <c r="A48" s="3">
        <v>45490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3431.15</v>
      </c>
      <c r="I48" s="105" t="e">
        <f t="shared" ca="1" si="0"/>
        <v>#NAME?</v>
      </c>
      <c r="J48" s="4" t="e">
        <f t="shared" ca="1" si="1"/>
        <v>#NAME?</v>
      </c>
    </row>
    <row r="49" spans="1:10" x14ac:dyDescent="0.25">
      <c r="A49" s="3">
        <v>45490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2731.57</v>
      </c>
      <c r="I49" s="105" t="e">
        <f t="shared" ca="1" si="0"/>
        <v>#NAME?</v>
      </c>
      <c r="J49" s="4" t="e">
        <f t="shared" ca="1" si="1"/>
        <v>#NAME?</v>
      </c>
    </row>
    <row r="50" spans="1:10" x14ac:dyDescent="0.25">
      <c r="A50" s="3">
        <v>45490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8584.4500000000007</v>
      </c>
      <c r="I50" s="105" t="e">
        <f t="shared" ca="1" si="0"/>
        <v>#NAME?</v>
      </c>
      <c r="J50" s="4" t="e">
        <f t="shared" ca="1" si="1"/>
        <v>#NAME?</v>
      </c>
    </row>
    <row r="51" spans="1:10" x14ac:dyDescent="0.25">
      <c r="A51" s="3">
        <v>45490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38919.14</v>
      </c>
      <c r="I51" s="105" t="e">
        <f t="shared" ca="1" si="0"/>
        <v>#NAME?</v>
      </c>
      <c r="J51" s="4" t="e">
        <f t="shared" ca="1" si="1"/>
        <v>#NAME?</v>
      </c>
    </row>
    <row r="52" spans="1:10" x14ac:dyDescent="0.25">
      <c r="A52" s="3">
        <v>45490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39906.04</v>
      </c>
      <c r="I52" s="105" t="e">
        <f t="shared" ca="1" si="0"/>
        <v>#NAME?</v>
      </c>
      <c r="J52" s="4" t="e">
        <f t="shared" ca="1" si="1"/>
        <v>#NAME?</v>
      </c>
    </row>
    <row r="53" spans="1:10" x14ac:dyDescent="0.25">
      <c r="A53" s="3">
        <v>45490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13845.28</v>
      </c>
      <c r="I53" s="105" t="e">
        <f t="shared" ca="1" si="0"/>
        <v>#NAME?</v>
      </c>
      <c r="J53" s="4" t="e">
        <f t="shared" ca="1" si="1"/>
        <v>#NAME?</v>
      </c>
    </row>
    <row r="54" spans="1:10" x14ac:dyDescent="0.25">
      <c r="A54" s="3">
        <v>45490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3442.28</v>
      </c>
      <c r="I54" s="105" t="e">
        <f t="shared" ca="1" si="0"/>
        <v>#NAME?</v>
      </c>
      <c r="J54" s="4" t="e">
        <f t="shared" ca="1" si="1"/>
        <v>#NAME?</v>
      </c>
    </row>
    <row r="55" spans="1:10" x14ac:dyDescent="0.25">
      <c r="A55" s="3">
        <v>45490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1662.45</v>
      </c>
      <c r="I55" s="105" t="e">
        <f t="shared" ca="1" si="0"/>
        <v>#NAME?</v>
      </c>
      <c r="J55" s="4" t="e">
        <f t="shared" ca="1" si="1"/>
        <v>#NAME?</v>
      </c>
    </row>
    <row r="56" spans="1:10" x14ac:dyDescent="0.25">
      <c r="A56" s="3">
        <v>45490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14007.44</v>
      </c>
      <c r="I56" s="105" t="e">
        <f t="shared" ca="1" si="0"/>
        <v>#NAME?</v>
      </c>
      <c r="J56" s="4" t="e">
        <f t="shared" ca="1" si="1"/>
        <v>#NAME?</v>
      </c>
    </row>
    <row r="57" spans="1:10" x14ac:dyDescent="0.25">
      <c r="A57" s="3">
        <v>45490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18774.72</v>
      </c>
      <c r="I57" s="105" t="e">
        <f t="shared" ca="1" si="0"/>
        <v>#NAME?</v>
      </c>
      <c r="J57" s="4" t="e">
        <f t="shared" ca="1" si="1"/>
        <v>#NAME?</v>
      </c>
    </row>
    <row r="58" spans="1:10" x14ac:dyDescent="0.25">
      <c r="A58" s="3">
        <v>45490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15590.8</v>
      </c>
      <c r="I58" s="105" t="e">
        <f t="shared" ca="1" si="0"/>
        <v>#NAME?</v>
      </c>
      <c r="J58" s="4" t="e">
        <f t="shared" ca="1" si="1"/>
        <v>#NAME?</v>
      </c>
    </row>
    <row r="59" spans="1:10" x14ac:dyDescent="0.25">
      <c r="A59" s="3">
        <v>45490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4193.63</v>
      </c>
      <c r="I59" s="105" t="e">
        <f t="shared" ca="1" si="0"/>
        <v>#NAME?</v>
      </c>
      <c r="J59" s="4" t="e">
        <f t="shared" ca="1" si="1"/>
        <v>#NAME?</v>
      </c>
    </row>
    <row r="60" spans="1:10" x14ac:dyDescent="0.25">
      <c r="A60" s="3">
        <v>45490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3684.31</v>
      </c>
      <c r="I60" s="105" t="e">
        <f t="shared" ca="1" si="0"/>
        <v>#NAME?</v>
      </c>
      <c r="J60" s="4" t="e">
        <f t="shared" ca="1" si="1"/>
        <v>#NAME?</v>
      </c>
    </row>
    <row r="61" spans="1:10" x14ac:dyDescent="0.25">
      <c r="A61" s="3">
        <v>45490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12239.02</v>
      </c>
      <c r="I61" s="105" t="e">
        <f t="shared" ca="1" si="0"/>
        <v>#NAME?</v>
      </c>
      <c r="J61" s="4" t="e">
        <f t="shared" ca="1" si="1"/>
        <v>#NAME?</v>
      </c>
    </row>
    <row r="62" spans="1:10" x14ac:dyDescent="0.25">
      <c r="A62" s="3">
        <v>45490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18748.759999999998</v>
      </c>
      <c r="I62" s="105" t="e">
        <f t="shared" ca="1" si="0"/>
        <v>#NAME?</v>
      </c>
      <c r="J62" s="4" t="e">
        <f t="shared" ca="1" si="1"/>
        <v>#NAME?</v>
      </c>
    </row>
    <row r="63" spans="1:10" x14ac:dyDescent="0.25">
      <c r="A63" s="3">
        <v>45490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15248.29</v>
      </c>
      <c r="I63" s="105" t="e">
        <f t="shared" ca="1" si="0"/>
        <v>#NAME?</v>
      </c>
      <c r="J63" s="4" t="e">
        <f t="shared" ca="1" si="1"/>
        <v>#NAME?</v>
      </c>
    </row>
    <row r="64" spans="1:10" x14ac:dyDescent="0.25">
      <c r="A64" s="3">
        <v>45490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4046.58</v>
      </c>
      <c r="I64" s="105" t="e">
        <f t="shared" ca="1" si="0"/>
        <v>#NAME?</v>
      </c>
      <c r="J64" s="4" t="e">
        <f t="shared" ca="1" si="1"/>
        <v>#NAME?</v>
      </c>
    </row>
    <row r="65" spans="1:10" x14ac:dyDescent="0.25">
      <c r="A65" s="3">
        <v>45490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7036.31</v>
      </c>
      <c r="I65" s="105" t="e">
        <f t="shared" ca="1" si="0"/>
        <v>#NAME?</v>
      </c>
      <c r="J65" s="4" t="e">
        <f t="shared" ca="1" si="1"/>
        <v>#NAME?</v>
      </c>
    </row>
    <row r="66" spans="1:10" x14ac:dyDescent="0.25">
      <c r="A66" s="3">
        <v>45490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4597.05</v>
      </c>
      <c r="I66" s="105" t="e">
        <f t="shared" ca="1" si="0"/>
        <v>#NAME?</v>
      </c>
      <c r="J66" s="4" t="e">
        <f t="shared" ca="1" si="1"/>
        <v>#NAME?</v>
      </c>
    </row>
    <row r="67" spans="1:10" x14ac:dyDescent="0.25">
      <c r="A67" s="3">
        <v>45490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1800.94</v>
      </c>
      <c r="I67" s="105" t="e">
        <f t="shared" ca="1" si="0"/>
        <v>#NAME?</v>
      </c>
      <c r="J67" s="4" t="e">
        <f t="shared" ca="1" si="1"/>
        <v>#NAME?</v>
      </c>
    </row>
    <row r="68" spans="1:10" x14ac:dyDescent="0.25">
      <c r="A68" s="3">
        <v>45490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8260.18</v>
      </c>
      <c r="I68" s="105" t="e">
        <f t="shared" ca="1" si="0"/>
        <v>#NAME?</v>
      </c>
      <c r="J68" s="4" t="e">
        <f t="shared" ca="1" si="1"/>
        <v>#NAME?</v>
      </c>
    </row>
    <row r="69" spans="1:10" x14ac:dyDescent="0.25">
      <c r="A69" s="3">
        <v>45490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12436.92</v>
      </c>
      <c r="I69" s="105" t="e">
        <f t="shared" ca="1" si="0"/>
        <v>#NAME?</v>
      </c>
      <c r="J69" s="4" t="e">
        <f t="shared" ca="1" si="1"/>
        <v>#NAME?</v>
      </c>
    </row>
    <row r="70" spans="1:10" x14ac:dyDescent="0.25">
      <c r="A70" s="3">
        <v>45490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63688.78</v>
      </c>
      <c r="I70" s="105" t="e">
        <f t="shared" ca="1" si="0"/>
        <v>#NAME?</v>
      </c>
      <c r="J70" s="4" t="e">
        <f t="shared" ca="1" si="1"/>
        <v>#NAME?</v>
      </c>
    </row>
    <row r="71" spans="1:10" x14ac:dyDescent="0.25">
      <c r="A71" s="3">
        <v>45490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4977.93</v>
      </c>
      <c r="I71" s="105" t="s">
        <v>380</v>
      </c>
      <c r="J71" s="4" t="s">
        <v>381</v>
      </c>
    </row>
    <row r="72" spans="1:10" x14ac:dyDescent="0.25">
      <c r="A72" s="3">
        <v>45490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4331.55</v>
      </c>
      <c r="I72" s="105" t="s">
        <v>384</v>
      </c>
      <c r="J72" s="4" t="s">
        <v>385</v>
      </c>
    </row>
    <row r="73" spans="1:10" x14ac:dyDescent="0.25">
      <c r="A73" s="3">
        <v>45490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6298.36</v>
      </c>
      <c r="I73" s="105" t="s">
        <v>388</v>
      </c>
      <c r="J73" s="4" t="s">
        <v>389</v>
      </c>
    </row>
    <row r="74" spans="1:10" x14ac:dyDescent="0.25">
      <c r="A74" s="3">
        <v>45490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123018.35</v>
      </c>
      <c r="I74" s="105" t="s">
        <v>390</v>
      </c>
      <c r="J74" s="4" t="s">
        <v>392</v>
      </c>
    </row>
    <row r="75" spans="1:10" x14ac:dyDescent="0.25">
      <c r="A75" s="3">
        <v>45490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13999.1</v>
      </c>
      <c r="I75" s="105" t="s">
        <v>393</v>
      </c>
      <c r="J75" s="4" t="s">
        <v>394</v>
      </c>
    </row>
    <row r="76" spans="1:10" x14ac:dyDescent="0.25">
      <c r="A76" s="3">
        <v>45490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28088.05</v>
      </c>
      <c r="I76" s="105" t="s">
        <v>396</v>
      </c>
      <c r="J76" s="4" t="s">
        <v>397</v>
      </c>
    </row>
    <row r="77" spans="1:10" x14ac:dyDescent="0.25">
      <c r="A77" s="3">
        <v>45490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116324.91</v>
      </c>
      <c r="I77" s="105" t="s">
        <v>410</v>
      </c>
      <c r="J77" s="4" t="s">
        <v>411</v>
      </c>
    </row>
    <row r="78" spans="1:10" x14ac:dyDescent="0.25">
      <c r="A78" s="3">
        <v>45490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6049.55</v>
      </c>
      <c r="I78" s="105" t="s">
        <v>413</v>
      </c>
      <c r="J78" s="4" t="s">
        <v>414</v>
      </c>
    </row>
    <row r="79" spans="1:10" x14ac:dyDescent="0.25">
      <c r="A79" s="3">
        <v>45490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4177.16</v>
      </c>
      <c r="I79" s="105" t="s">
        <v>419</v>
      </c>
      <c r="J79" s="4" t="s">
        <v>418</v>
      </c>
    </row>
    <row r="80" spans="1:10" x14ac:dyDescent="0.25">
      <c r="A80" s="3">
        <v>45490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3267.7</v>
      </c>
      <c r="I80" s="105" t="e">
        <f t="shared" ref="I79:I106" ca="1" si="2">[2]!s_dq_close(B80,$F$2,1)</f>
        <v>#NAME?</v>
      </c>
      <c r="J80" s="4" t="e">
        <f t="shared" ref="J79:J106" ca="1" si="3">[2]!s_dq_high(B80,$F$2,1)</f>
        <v>#NAME?</v>
      </c>
    </row>
    <row r="81" spans="1:10" x14ac:dyDescent="0.25">
      <c r="A81" s="3">
        <v>45490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7433.74</v>
      </c>
      <c r="I81" s="105" t="e">
        <f t="shared" ca="1" si="2"/>
        <v>#NAME?</v>
      </c>
      <c r="J81" s="4" t="e">
        <f t="shared" ca="1" si="3"/>
        <v>#NAME?</v>
      </c>
    </row>
    <row r="82" spans="1:10" x14ac:dyDescent="0.25">
      <c r="A82" s="3">
        <v>45490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9724.5300000000007</v>
      </c>
      <c r="I82" s="105" t="e">
        <f t="shared" ca="1" si="2"/>
        <v>#NAME?</v>
      </c>
      <c r="J82" s="4" t="e">
        <f t="shared" ca="1" si="3"/>
        <v>#NAME?</v>
      </c>
    </row>
    <row r="83" spans="1:10" x14ac:dyDescent="0.25">
      <c r="A83" s="3">
        <v>45490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4336.8999999999996</v>
      </c>
      <c r="I83" s="105" t="e">
        <f t="shared" ca="1" si="2"/>
        <v>#NAME?</v>
      </c>
      <c r="J83" s="4" t="e">
        <f t="shared" ca="1" si="3"/>
        <v>#NAME?</v>
      </c>
    </row>
    <row r="84" spans="1:10" x14ac:dyDescent="0.25">
      <c r="A84" s="3">
        <v>45490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5219.04</v>
      </c>
      <c r="I84" s="105" t="e">
        <f t="shared" ca="1" si="2"/>
        <v>#NAME?</v>
      </c>
      <c r="J84" s="4" t="e">
        <f t="shared" ca="1" si="3"/>
        <v>#NAME?</v>
      </c>
    </row>
    <row r="85" spans="1:10" x14ac:dyDescent="0.25">
      <c r="A85" s="3">
        <v>45490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8856.43</v>
      </c>
      <c r="I85" s="105" t="e">
        <f t="shared" ca="1" si="2"/>
        <v>#NAME?</v>
      </c>
      <c r="J85" s="4" t="e">
        <f t="shared" ca="1" si="3"/>
        <v>#NAME?</v>
      </c>
    </row>
    <row r="86" spans="1:10" x14ac:dyDescent="0.25">
      <c r="A86" s="3">
        <v>45490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21033.63</v>
      </c>
      <c r="I86" s="105" t="e">
        <f t="shared" ca="1" si="2"/>
        <v>#NAME?</v>
      </c>
      <c r="J86" s="4" t="e">
        <f t="shared" ca="1" si="3"/>
        <v>#NAME?</v>
      </c>
    </row>
    <row r="87" spans="1:10" x14ac:dyDescent="0.25">
      <c r="A87" s="3">
        <v>45490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6037.22</v>
      </c>
      <c r="I87" s="105" t="e">
        <f t="shared" ca="1" si="2"/>
        <v>#NAME?</v>
      </c>
      <c r="J87" s="4" t="e">
        <f t="shared" ca="1" si="3"/>
        <v>#NAME?</v>
      </c>
    </row>
    <row r="88" spans="1:10" x14ac:dyDescent="0.25">
      <c r="A88" s="3">
        <v>45490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22268.91</v>
      </c>
      <c r="I88" s="105" t="e">
        <f t="shared" ca="1" si="2"/>
        <v>#NAME?</v>
      </c>
      <c r="J88" s="4" t="e">
        <f t="shared" ca="1" si="3"/>
        <v>#NAME?</v>
      </c>
    </row>
    <row r="89" spans="1:10" x14ac:dyDescent="0.25">
      <c r="A89" s="3">
        <v>45490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7716.85</v>
      </c>
      <c r="I89" s="105" t="e">
        <f t="shared" ca="1" si="2"/>
        <v>#NAME?</v>
      </c>
      <c r="J89" s="4" t="e">
        <f t="shared" ca="1" si="3"/>
        <v>#NAME?</v>
      </c>
    </row>
    <row r="90" spans="1:10" x14ac:dyDescent="0.25">
      <c r="A90" s="3">
        <v>45490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3987.47</v>
      </c>
      <c r="I90" s="105" t="e">
        <f t="shared" ca="1" si="2"/>
        <v>#NAME?</v>
      </c>
      <c r="J90" s="4" t="e">
        <f t="shared" ca="1" si="3"/>
        <v>#NAME?</v>
      </c>
    </row>
    <row r="91" spans="1:10" x14ac:dyDescent="0.25">
      <c r="A91" s="3">
        <v>45490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4224.01</v>
      </c>
      <c r="I91" s="105" t="e">
        <f t="shared" ca="1" si="2"/>
        <v>#NAME?</v>
      </c>
      <c r="J91" s="4" t="e">
        <f t="shared" ca="1" si="3"/>
        <v>#NAME?</v>
      </c>
    </row>
    <row r="92" spans="1:10" x14ac:dyDescent="0.25">
      <c r="A92" s="3">
        <v>45490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7782.03</v>
      </c>
      <c r="I92" s="105" t="e">
        <f t="shared" ca="1" si="2"/>
        <v>#NAME?</v>
      </c>
      <c r="J92" s="4" t="e">
        <f t="shared" ca="1" si="3"/>
        <v>#NAME?</v>
      </c>
    </row>
    <row r="93" spans="1:10" x14ac:dyDescent="0.25">
      <c r="A93" s="3">
        <v>45490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8785.9</v>
      </c>
      <c r="I93" s="105" t="e">
        <f t="shared" ca="1" si="2"/>
        <v>#NAME?</v>
      </c>
      <c r="J93" s="4" t="e">
        <f t="shared" ca="1" si="3"/>
        <v>#NAME?</v>
      </c>
    </row>
    <row r="94" spans="1:10" x14ac:dyDescent="0.25">
      <c r="A94" s="3">
        <v>45490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2566.5500000000002</v>
      </c>
      <c r="I94" s="105" t="e">
        <f t="shared" ca="1" si="2"/>
        <v>#NAME?</v>
      </c>
      <c r="J94" s="4" t="e">
        <f t="shared" ca="1" si="3"/>
        <v>#NAME?</v>
      </c>
    </row>
    <row r="95" spans="1:10" x14ac:dyDescent="0.25">
      <c r="A95" s="3">
        <v>45490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20737.82</v>
      </c>
      <c r="I95" s="105" t="e">
        <f t="shared" ca="1" si="2"/>
        <v>#NAME?</v>
      </c>
      <c r="J95" s="4" t="e">
        <f t="shared" ca="1" si="3"/>
        <v>#NAME?</v>
      </c>
    </row>
    <row r="96" spans="1:10" x14ac:dyDescent="0.25">
      <c r="A96" s="3">
        <v>45490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45041.29</v>
      </c>
      <c r="I96" s="105" t="e">
        <f t="shared" ca="1" si="2"/>
        <v>#NAME?</v>
      </c>
      <c r="J96" s="4" t="e">
        <f t="shared" ca="1" si="3"/>
        <v>#NAME?</v>
      </c>
    </row>
    <row r="97" spans="1:10" x14ac:dyDescent="0.25">
      <c r="A97" s="3">
        <v>45490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4282.63</v>
      </c>
      <c r="I97" s="105" t="e">
        <f t="shared" ca="1" si="2"/>
        <v>#NAME?</v>
      </c>
      <c r="J97" s="4" t="e">
        <f t="shared" ca="1" si="3"/>
        <v>#NAME?</v>
      </c>
    </row>
    <row r="98" spans="1:10" x14ac:dyDescent="0.25">
      <c r="A98" s="3">
        <v>45490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2186.6</v>
      </c>
      <c r="I98" s="105" t="e">
        <f t="shared" ca="1" si="2"/>
        <v>#NAME?</v>
      </c>
      <c r="J98" s="4" t="e">
        <f t="shared" ca="1" si="3"/>
        <v>#NAME?</v>
      </c>
    </row>
    <row r="99" spans="1:10" x14ac:dyDescent="0.25">
      <c r="A99" s="3">
        <v>45490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17265.73</v>
      </c>
      <c r="I99" s="105" t="e">
        <f t="shared" ca="1" si="2"/>
        <v>#NAME?</v>
      </c>
      <c r="J99" s="4" t="e">
        <f t="shared" ca="1" si="3"/>
        <v>#NAME?</v>
      </c>
    </row>
    <row r="100" spans="1:10" x14ac:dyDescent="0.25">
      <c r="A100" s="3">
        <v>45490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3957.87</v>
      </c>
      <c r="I100" s="105" t="e">
        <f t="shared" ca="1" si="2"/>
        <v>#NAME?</v>
      </c>
      <c r="J100" s="4" t="e">
        <f t="shared" ca="1" si="3"/>
        <v>#NAME?</v>
      </c>
    </row>
    <row r="101" spans="1:10" x14ac:dyDescent="0.25">
      <c r="A101" s="3">
        <v>45490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10501.2</v>
      </c>
      <c r="I101" s="105" t="e">
        <f t="shared" ca="1" si="2"/>
        <v>#NAME?</v>
      </c>
      <c r="J101" s="4" t="e">
        <f t="shared" ca="1" si="3"/>
        <v>#NAME?</v>
      </c>
    </row>
    <row r="102" spans="1:10" x14ac:dyDescent="0.25">
      <c r="A102" s="3">
        <v>45490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917.8</v>
      </c>
      <c r="I102" s="105" t="e">
        <f t="shared" ca="1" si="2"/>
        <v>#NAME?</v>
      </c>
      <c r="J102" s="4" t="e">
        <f t="shared" ca="1" si="3"/>
        <v>#NAME?</v>
      </c>
    </row>
    <row r="103" spans="1:10" x14ac:dyDescent="0.25">
      <c r="A103" s="3">
        <v>45490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1746.17</v>
      </c>
      <c r="I103" s="105" t="e">
        <f t="shared" ca="1" si="2"/>
        <v>#NAME?</v>
      </c>
      <c r="J103" s="4" t="e">
        <f t="shared" ca="1" si="3"/>
        <v>#NAME?</v>
      </c>
    </row>
    <row r="104" spans="1:10" x14ac:dyDescent="0.25">
      <c r="A104" s="3">
        <v>45490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4973.4399999999996</v>
      </c>
      <c r="I104" s="105" t="e">
        <f t="shared" ca="1" si="2"/>
        <v>#NAME?</v>
      </c>
      <c r="J104" s="4" t="e">
        <f t="shared" ca="1" si="3"/>
        <v>#NAME?</v>
      </c>
    </row>
    <row r="105" spans="1:10" x14ac:dyDescent="0.25">
      <c r="A105" s="3">
        <v>45490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2657.19</v>
      </c>
      <c r="I105" s="105" t="e">
        <f t="shared" ca="1" si="2"/>
        <v>#NAME?</v>
      </c>
      <c r="J105" s="4" t="e">
        <f t="shared" ca="1" si="3"/>
        <v>#NAME?</v>
      </c>
    </row>
    <row r="106" spans="1:10" x14ac:dyDescent="0.25">
      <c r="A106" s="3">
        <v>45490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2916.27</v>
      </c>
      <c r="I106" s="105" t="e">
        <f t="shared" ca="1" si="2"/>
        <v>#NAME?</v>
      </c>
      <c r="J106" s="4" t="e">
        <f t="shared" ca="1" si="3"/>
        <v>#NAME?</v>
      </c>
    </row>
    <row r="107" spans="1:10" x14ac:dyDescent="0.25">
      <c r="G107" s="91"/>
    </row>
    <row r="108" spans="1:10" x14ac:dyDescent="0.25">
      <c r="G108"/>
    </row>
    <row r="109" spans="1:10" x14ac:dyDescent="0.25">
      <c r="G109"/>
    </row>
    <row r="110" spans="1:10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2024-07-22T06:06:28Z</dcterms:modified>
</cp:coreProperties>
</file>