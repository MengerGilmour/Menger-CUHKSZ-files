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9927\Desktop\internship\宁聚投资\2. ETF实时溢价套利\"/>
    </mc:Choice>
  </mc:AlternateContent>
  <xr:revisionPtr revIDLastSave="0" documentId="13_ncr:1_{4AB8285B-92A0-40CF-B80D-8C279A5676B4}" xr6:coauthVersionLast="47" xr6:coauthVersionMax="47" xr10:uidLastSave="{00000000-0000-0000-0000-000000000000}"/>
  <bookViews>
    <workbookView xWindow="-110" yWindow="-110" windowWidth="25820" windowHeight="15500" tabRatio="629" firstSheet="2" activeTab="2" xr2:uid="{00000000-000D-0000-FFFF-FFFF00000000}"/>
  </bookViews>
  <sheets>
    <sheet name="监控界面" sheetId="26" state="hidden" r:id="rId1"/>
    <sheet name="交易监控表" sheetId="14" state="hidden" r:id="rId2"/>
    <sheet name="中概互联实时折溢价" sheetId="6" r:id="rId3"/>
    <sheet name="纳指ETF折溢价" sheetId="4" r:id="rId4"/>
    <sheet name="广发中概折溢价" sheetId="27" state="hidden" r:id="rId5"/>
  </sheets>
  <externalReferences>
    <externalReference r:id="rId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26" l="1"/>
  <c r="G6" i="26"/>
  <c r="G4" i="26"/>
  <c r="G2" i="26"/>
  <c r="G3" i="26"/>
  <c r="C2" i="26"/>
  <c r="B2" i="26"/>
  <c r="A6" i="6"/>
  <c r="D5" i="14"/>
  <c r="E5" i="14"/>
  <c r="E4" i="14"/>
  <c r="E3" i="14"/>
  <c r="A6" i="4"/>
  <c r="D3" i="14"/>
  <c r="D4" i="14"/>
  <c r="D2" i="14" l="1"/>
  <c r="E2" i="14"/>
  <c r="G8" i="26"/>
  <c r="G7" i="26"/>
  <c r="B8" i="26"/>
  <c r="B5" i="26"/>
  <c r="B7" i="26"/>
  <c r="B6" i="26"/>
  <c r="D8" i="26" l="1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C8" i="26" l="1"/>
  <c r="C5" i="26"/>
  <c r="C6" i="26"/>
  <c r="J2" i="26"/>
  <c r="C7" i="2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<sst xmlns="http://schemas.openxmlformats.org/spreadsheetml/2006/main" count="474" uniqueCount="323">
  <si>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</si>
  <si>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</si>
  <si>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</si>
  <si>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</si>
  <si>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</si>
  <si>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</si>
  <si>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</si>
  <si>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</si>
  <si>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</si>
  <si>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</si>
  <si>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</si>
  <si>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</si>
  <si>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</si>
  <si>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</si>
  <si>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</si>
  <si>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</si>
  <si>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</si>
  <si>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</si>
  <si>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</si>
  <si>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</si>
  <si>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</si>
  <si>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</si>
  <si>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</si>
  <si>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</si>
  <si>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</si>
  <si>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</si>
  <si>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</si>
  <si>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</si>
  <si>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</si>
  <si>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</si>
  <si>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</si>
  <si>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</si>
  <si>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</si>
  <si>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</si>
  <si>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</si>
  <si>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</si>
  <si>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</si>
  <si>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</si>
  <si>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</si>
  <si>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</si>
  <si>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</si>
  <si>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</si>
  <si>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</si>
  <si>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</si>
  <si>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</si>
  <si>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</si>
  <si>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</si>
  <si>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</si>
  <si>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</si>
  <si>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</si>
  <si>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</si>
  <si>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</si>
  <si>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</si>
  <si>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</si>
  <si>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</si>
  <si>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</si>
  <si>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</si>
  <si>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</si>
  <si>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</si>
  <si>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</si>
  <si>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</si>
  <si>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</si>
  <si>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</si>
  <si>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</si>
  <si>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</si>
  <si>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</si>
  <si>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</si>
  <si>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</si>
  <si>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</si>
  <si>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</si>
  <si>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</si>
  <si>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</si>
  <si>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</si>
  <si>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</si>
  <si>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</si>
  <si>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</si>
  <si>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</si>
  <si>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</si>
  <si>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</si>
  <si>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</si>
  <si>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</si>
  <si>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</si>
  <si>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</si>
  <si>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</si>
  <si>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</si>
  <si>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</si>
  <si>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</si>
  <si>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</si>
  <si>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</si>
  <si>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</si>
  <si>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</si>
  <si>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</si>
  <si>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</si>
  <si>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</si>
  <si>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</si>
  <si>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</si>
  <si>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</si>
  <si>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</si>
  <si>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</si>
  <si>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</si>
  <si>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</si>
  <si>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</si>
  <si>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</si>
  <si>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</si>
  <si>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</si>
  <si>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</si>
  <si>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</si>
  <si>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</si>
  <si>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</si>
  <si>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</si>
  <si>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</si>
  <si>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</si>
  <si>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</si>
  <si>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</si>
  <si>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</si>
  <si>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</si>
  <si>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</si>
  <si>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</si>
  <si>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</si>
  <si>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</si>
  <si>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</si>
  <si>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</si>
  <si>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</si>
  <si>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</si>
  <si>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</si>
  <si>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</si>
  <si>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</si>
  <si>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</si>
  <si>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</si>
  <si>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</si>
  <si>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</si>
  <si>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</si>
  <si>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</si>
  <si>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</si>
  <si>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</si>
  <si>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</si>
  <si>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</si>
  <si>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</si>
  <si>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</si>
  <si>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</si>
  <si>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</si>
  <si>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</si>
  <si>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</si>
  <si>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</si>
  <si>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</si>
  <si>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</si>
  <si>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</si>
  <si>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</si>
  <si>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</si>
  <si>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</si>
  <si>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</si>
  <si>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</si>
  <si>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</si>
  <si>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</si>
  <si>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</si>
  <si>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</si>
  <si>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</si>
  <si>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</si>
  <si>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</si>
  <si>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</si>
  <si>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</si>
  <si>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</si>
  <si>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</si>
  <si>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</si>
  <si>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</si>
  <si>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</si>
  <si>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</si>
  <si>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</si>
  <si>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</si>
  <si>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</si>
  <si>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</si>
  <si>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</si>
  <si>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</si>
  <si>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</si>
  <si>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</si>
  <si>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</si>
  <si>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</si>
  <si>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</si>
  <si>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</si>
  <si>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</si>
  <si>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</si>
  <si>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</si>
  <si>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</si>
  <si>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</si>
  <si>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</si>
  <si>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</si>
  <si>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</si>
  <si>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</si>
  <si>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</si>
  <si>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</si>
  <si>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</si>
  <si>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</si>
  <si>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</si>
  <si>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</si>
  <si>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</si>
  <si>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</si>
  <si>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</si>
  <si>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</si>
  <si>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</si>
  <si>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</si>
  <si>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</si>
  <si>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</si>
  <si>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</si>
  <si>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</si>
  <si>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</si>
  <si>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</si>
  <si>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</si>
  <si>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</si>
  <si>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</si>
  <si>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</si>
  <si>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</si>
  <si>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</si>
  <si>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</si>
  <si>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</si>
  <si>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</si>
  <si>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</si>
  <si>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</si>
  <si>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</si>
  <si>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</si>
  <si>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</si>
  <si>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</si>
  <si>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</si>
  <si>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</si>
  <si>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</si>
  <si>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</si>
  <si>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</si>
  <si>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</si>
  <si>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</si>
  <si>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</si>
  <si>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</si>
  <si>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</si>
  <si>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</si>
  <si>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</si>
  <si>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</si>
  <si>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</si>
  <si>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</si>
  <si>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</si>
  <si>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</si>
  <si>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</si>
  <si>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</si>
  <si>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</si>
  <si>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</si>
  <si>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</si>
  <si>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</si>
  <si>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</si>
  <si>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</si>
  <si>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</si>
  <si>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</si>
  <si>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</si>
  <si>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</si>
  <si>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</si>
  <si>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</si>
  <si>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</si>
  <si>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</si>
  <si>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</si>
  <si>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</si>
  <si>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</si>
  <si>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</si>
  <si>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</si>
  <si>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</si>
  <si>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</si>
  <si>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</si>
  <si>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</si>
  <si>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</si>
  <si>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</si>
  <si>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</si>
  <si>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</si>
  <si>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</si>
  <si>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</si>
  <si>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</si>
  <si>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</si>
  <si>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</si>
  <si>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</si>
  <si>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</si>
  <si>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</si>
  <si>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</si>
  <si>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</si>
  <si>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</si>
  <si>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</si>
  <si>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</si>
  <si>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</si>
  <si>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</si>
  <si>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</si>
  <si>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</si>
  <si>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</si>
  <si>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</si>
  <si>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</si>
  <si>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</si>
  <si>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</si>
  <si>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</si>
  <si>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</si>
  <si>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</si>
  <si>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</si>
  <si>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</si>
  <si>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</si>
  <si>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</si>
  <si>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</si>
  <si>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</si>
  <si>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</si>
  <si>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</si>
  <si>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</si>
  <si>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</si>
  <si>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</si>
  <si>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</si>
  <si>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</si>
  <si>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</si>
  <si>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</si>
  <si>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</si>
  <si>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</si>
  <si>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</si>
  <si>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</si>
  <si>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</si>
  <si>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</si>
  <si>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</si>
  <si>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</si>
  <si>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4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</si>
  <si>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</si>
  <si>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</si>
  <si>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</si>
  <si>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</si>
  <si>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</si>
  <si>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</si>
  <si>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2024-07-16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</si>
</sst>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</numFmts>
  <fonts count="17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6" fontId="10" fillId="0" borderId="0" xfId="0" applyNumberFormat="1" applyFont="1" applyAlignment="1">
      <alignment horizontal="center" vertical="center"/>
    </xf>
    <xf numFmtId="185" fontId="10" fillId="0" borderId="0" xfId="0" applyNumberFormat="1" applyFont="1">
      <alignment vertical="center"/>
    </xf>
    <xf numFmtId="2" fontId="11" fillId="0" borderId="0" xfId="1" applyNumberFormat="1" applyFont="1" applyFill="1">
      <alignment vertical="center"/>
    </xf>
    <xf numFmtId="178" fontId="14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7" fillId="0" borderId="0" xfId="0" applyNumberFormat="1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180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right" vertical="center"/>
    </xf>
    <xf numFmtId="49" fontId="8" fillId="2" borderId="0" xfId="0" applyNumberFormat="1" applyFont="1" applyFill="1" applyAlignment="1">
      <alignment horizontal="right" vertical="center"/>
    </xf>
    <xf numFmtId="183" fontId="8" fillId="2" borderId="0" xfId="0" applyNumberFormat="1" applyFont="1" applyFill="1" applyAlignment="1">
      <alignment horizontal="right" vertical="center"/>
    </xf>
    <xf numFmtId="180" fontId="8" fillId="2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" fontId="8" fillId="0" borderId="0" xfId="0" applyNumberFormat="1" applyFont="1">
      <alignment vertical="center"/>
    </xf>
    <xf numFmtId="3" fontId="0" fillId="0" borderId="0" xfId="0" applyNumberFormat="1" applyAlignment="1">
      <alignment horizontal="right" vertical="center"/>
    </xf>
    <xf numFmtId="3" fontId="8" fillId="2" borderId="0" xfId="0" applyNumberFormat="1" applyFont="1" applyFill="1" applyAlignment="1">
      <alignment horizontal="right" vertical="center"/>
    </xf>
    <xf numFmtId="2" fontId="8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80" fontId="0" fillId="2" borderId="0" xfId="0" applyNumberFormat="1" applyFill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3" fontId="0" fillId="2" borderId="0" xfId="0" applyNumberFormat="1" applyFill="1" applyAlignment="1">
      <alignment horizontal="right" vertical="center"/>
    </xf>
    <xf numFmtId="183" fontId="0" fillId="2" borderId="0" xfId="0" applyNumberFormat="1" applyFill="1" applyAlignment="1">
      <alignment horizontal="right"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186" fontId="8" fillId="0" borderId="0" xfId="0" applyNumberFormat="1" applyFon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 wrapText="1"/>
    </xf>
    <xf numFmtId="0" fontId="2" fillId="5" borderId="0" xfId="0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 wrapText="1"/>
    </xf>
    <xf numFmtId="0" fontId="0" fillId="5" borderId="0" xfId="0" applyFill="1" applyAlignment="1">
      <alignment vertical="center" wrapText="1"/>
    </xf>
    <xf numFmtId="4" fontId="0" fillId="5" borderId="0" xfId="0" applyNumberFormat="1" applyFill="1">
      <alignment vertical="center"/>
    </xf>
    <xf numFmtId="2" fontId="0" fillId="5" borderId="0" xfId="0" applyNumberFormat="1" applyFill="1" applyAlignment="1">
      <alignment vertical="center" wrapText="1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 applyAlignment="1">
      <alignment vertical="center" wrapText="1"/>
    </xf>
    <xf numFmtId="18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9" defaultPivotStyle="PivotStyleLight16"/>
  <colors>
    <mruColors>
      <color rgb="FFFFFFCC"/>
      <color rgb="FFFFFF66"/>
      <color rgb="FFCCFFFF"/>
      <color rgb="FF66CC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0.93110000000000004</v>
        <stp/>
        <stp>HKDCNY.IB</stp>
        <stp>Rt_Price</stp>
        <tr r="C2" s="26"/>
      </tp>
      <tp>
        <v>7.2673000000000005</v>
        <stp/>
        <stp>USDCNY.IB</stp>
        <stp>Rt_Price</stp>
        <tr r="B2" s="26"/>
      </tp>
      <tp>
        <v>1.528</v>
        <stp/>
        <stp>513100.SH</stp>
        <stp>Ask_Price1</stp>
        <tr r="B7" s="26"/>
      </tp>
      <tp>
        <v>1.052</v>
        <stp/>
        <stp>513050.SH</stp>
        <stp>Ask_Price1</stp>
        <tr r="B5" s="26"/>
      </tp>
      <tp>
        <v>1.526</v>
        <stp/>
        <stp>513100.SH</stp>
        <stp>Bid_Price1</stp>
        <tr r="B8" s="26"/>
      </tp>
      <tp>
        <v>1.0509999999999999</v>
        <stp/>
        <stp>513050.SH</stp>
        <stp>Bid_Price1</stp>
        <tr r="B6" s="26"/>
      </tp>
      <tp>
        <v>-0.26</v>
        <stp/>
        <stp>3690.HK</stp>
        <stp>PctChg</stp>
        <tr r="G3" s="26"/>
      </tp>
      <tp>
        <v>-0.74</v>
        <stp/>
        <stp>0700.HK</stp>
        <stp>PctChg</stp>
        <tr r="G2" s="26"/>
      </tp>
      <tp>
        <v>0.49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G\Wind\DataBrowse\XLA\WindFunc.xla" TargetMode="External"/><Relationship Id="rId1" Type="http://schemas.openxmlformats.org/officeDocument/2006/relationships/externalLinkPath" Target="file:///D:\MG\Wind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s_dq_close"/>
      <definedName name="wse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29"/>
  <sheetViews>
    <sheetView workbookViewId="0">
      <selection activeCell="C27" sqref="C27"/>
    </sheetView>
  </sheetViews>
  <sheetFormatPr defaultColWidth="9.1796875" defaultRowHeight="14" x14ac:dyDescent="0.25"/>
  <cols>
    <col min="1" max="1" width="15.453125" style="36" customWidth="1"/>
    <col min="2" max="3" width="12.26953125" style="36" bestFit="1" customWidth="1"/>
    <col min="4" max="4" width="13" style="36" customWidth="1"/>
    <col min="5" max="5" width="12.7265625" style="36" bestFit="1" customWidth="1"/>
    <col min="6" max="6" width="10.26953125" style="36" bestFit="1" customWidth="1"/>
    <col min="7" max="7" width="12" style="36" bestFit="1" customWidth="1"/>
    <col min="8" max="8" width="13.26953125" style="36" hidden="1" customWidth="1"/>
    <col min="9" max="9" width="10.7265625" style="36" hidden="1" customWidth="1"/>
    <col min="10" max="10" width="11.54296875" style="36" hidden="1" customWidth="1"/>
    <col min="11" max="11" width="11.54296875" style="36" bestFit="1" customWidth="1"/>
    <col min="12" max="16384" width="9.1796875" style="36"/>
  </cols>
  <sheetData>
    <row r="1" spans="1:11" ht="15" customHeight="1" x14ac:dyDescent="0.25">
      <c r="A1" s="38"/>
      <c r="B1" s="41" t="s">
        <v>145</v>
      </c>
      <c r="C1" s="41" t="s">
        <v>146</v>
      </c>
      <c r="F1" s="37"/>
      <c r="G1" s="37" t="s">
        <v>311</v>
      </c>
      <c r="K1" s="35"/>
    </row>
    <row r="2" spans="1:11" ht="24" customHeight="1" x14ac:dyDescent="0.25">
      <c r="A2" s="69" t="s">
        <v>307</v>
      </c>
      <c r="B2" s="39">
        <f>RTD("wdf.rtq",,"USDCNY.IB","Rt_Price")</f>
        <v>7.2673000000000005</v>
      </c>
      <c r="C2" s="39">
        <f>RTD("wdf.rtq",,"HKDCNY.IB","Rt_Price")</f>
        <v>0.93110000000000004</v>
      </c>
      <c r="F2" s="34" t="s">
        <v>155</v>
      </c>
      <c r="G2" s="82">
        <f>RTD("wdf.rtq",,"0700.HK","PctChg")/100-0</f>
        <v>-7.4000000000000003E-3</v>
      </c>
      <c r="H2" s="36">
        <v>5000000</v>
      </c>
      <c r="J2" s="42" t="e">
        <f>SUM(J3:J9)</f>
        <v>#REF!</v>
      </c>
      <c r="K2" s="37"/>
    </row>
    <row r="3" spans="1:11" ht="15" customHeight="1" x14ac:dyDescent="0.25">
      <c r="E3" s="66"/>
      <c r="F3" s="34" t="s">
        <v>156</v>
      </c>
      <c r="G3" s="82">
        <f>RTD("wdf.rtq",,"3690.HK","PctChg")/100-0</f>
        <v>-2.5999999999999999E-3</v>
      </c>
      <c r="H3" s="35" t="e">
        <f>B5*H2/C2*J3/中概互联实时折溢价!#REF!</f>
        <v>#REF!</v>
      </c>
      <c r="I3" s="35" t="e">
        <f t="shared" ref="I3:I9" si="0">H3*2</f>
        <v>#REF!</v>
      </c>
      <c r="J3" s="42" t="e">
        <f>中概互联实时折溢价!#REF!</f>
        <v>#REF!</v>
      </c>
      <c r="K3" s="40"/>
    </row>
    <row r="4" spans="1:11" ht="15" customHeight="1" x14ac:dyDescent="0.25">
      <c r="A4" s="37" t="s">
        <v>140</v>
      </c>
      <c r="B4" s="37" t="s">
        <v>143</v>
      </c>
      <c r="C4" s="37" t="s">
        <v>142</v>
      </c>
      <c r="D4" s="83" t="s">
        <v>310</v>
      </c>
      <c r="E4" s="66"/>
      <c r="F4" s="34" t="s">
        <v>175</v>
      </c>
      <c r="G4" s="82">
        <f>RTD("wdf.rtq",,"1810.HK","PctChg")/100-0</f>
        <v>4.8999999999999998E-3</v>
      </c>
      <c r="H4" s="35" t="e">
        <f>B5*H2/C2*J4/中概互联实时折溢价!#REF!</f>
        <v>#REF!</v>
      </c>
      <c r="I4" s="35" t="e">
        <f t="shared" si="0"/>
        <v>#REF!</v>
      </c>
      <c r="J4" s="42" t="e">
        <f>中概互联实时折溢价!#REF!</f>
        <v>#REF!</v>
      </c>
      <c r="K4" s="40"/>
    </row>
    <row r="5" spans="1:11" ht="15" customHeight="1" x14ac:dyDescent="0.25">
      <c r="A5" s="43" t="s">
        <v>134</v>
      </c>
      <c r="B5" s="84">
        <f>RTD("wdf.rtq",,A5,"Ask_Price1")-0</f>
        <v>1.052</v>
      </c>
      <c r="C5" s="85" t="e">
        <f>中概互联实时折溢价!#REF!</f>
        <v>#REF!</v>
      </c>
      <c r="D5" s="83"/>
      <c r="E5" s="39"/>
      <c r="G5" s="37" t="s">
        <v>312</v>
      </c>
      <c r="H5" s="35" t="e">
        <f>B5*H2/C2*J5/中概互联实时折溢价!#REF!</f>
        <v>#REF!</v>
      </c>
      <c r="I5" s="35" t="e">
        <f t="shared" si="0"/>
        <v>#REF!</v>
      </c>
      <c r="J5" s="42" t="e">
        <f>中概互联实时折溢价!#REF!</f>
        <v>#REF!</v>
      </c>
      <c r="K5" s="40"/>
    </row>
    <row r="6" spans="1:11" ht="15" customHeight="1" x14ac:dyDescent="0.25">
      <c r="A6" s="44" t="s">
        <v>141</v>
      </c>
      <c r="B6" s="84">
        <f>RTD("wdf.rtq",,A5,"Bid_Price1")-0</f>
        <v>1.0509999999999999</v>
      </c>
      <c r="C6" s="85" t="e">
        <f>中概互联实时折溢价!#REF!</f>
        <v>#REF!</v>
      </c>
      <c r="D6" s="86" t="e">
        <f>中概互联实时折溢价!#REF!</f>
        <v>#REF!</v>
      </c>
      <c r="F6" s="34" t="s">
        <v>168</v>
      </c>
      <c r="G6" s="82" t="e">
        <f>中概互联实时折溢价!#REF!</f>
        <v>#REF!</v>
      </c>
      <c r="H6" s="35" t="e">
        <f>B5*H2/C2*J6/中概互联实时折溢价!#REF!</f>
        <v>#REF!</v>
      </c>
      <c r="I6" s="35" t="e">
        <f t="shared" si="0"/>
        <v>#REF!</v>
      </c>
      <c r="J6" s="42" t="e">
        <f>中概互联实时折溢价!#REF!</f>
        <v>#REF!</v>
      </c>
      <c r="K6" s="40"/>
    </row>
    <row r="7" spans="1:11" ht="15" customHeight="1" x14ac:dyDescent="0.25">
      <c r="A7" s="45" t="s">
        <v>144</v>
      </c>
      <c r="B7" s="87">
        <f>RTD("wdf.rtq",,A7,"Ask_Price1")</f>
        <v>1.528</v>
      </c>
      <c r="C7" s="88" t="e">
        <f>纳指ETF折溢价!#REF!+0</f>
        <v>#REF!</v>
      </c>
      <c r="D7" s="83"/>
      <c r="E7" s="68"/>
      <c r="F7" s="34" t="s">
        <v>169</v>
      </c>
      <c r="G7" s="82" t="e">
        <f>中概互联实时折溢价!#REF!</f>
        <v>#REF!</v>
      </c>
      <c r="H7" s="35" t="e">
        <f>B5*H2/C2*J7/中概互联实时折溢价!#REF!</f>
        <v>#REF!</v>
      </c>
      <c r="I7" s="35" t="e">
        <f t="shared" si="0"/>
        <v>#REF!</v>
      </c>
      <c r="J7" s="42" t="e">
        <f>中概互联实时折溢价!#REF!</f>
        <v>#REF!</v>
      </c>
      <c r="K7" s="35"/>
    </row>
    <row r="8" spans="1:11" ht="15" customHeight="1" x14ac:dyDescent="0.25">
      <c r="A8" s="46" t="s">
        <v>161</v>
      </c>
      <c r="B8" s="87">
        <f>RTD("wdf.rtq",,A7,"Bid_Price1")</f>
        <v>1.526</v>
      </c>
      <c r="C8" s="88" t="e">
        <f>纳指ETF折溢价!#REF!</f>
        <v>#REF!</v>
      </c>
      <c r="D8" s="86" t="e">
        <f>纳指ETF折溢价!#REF!</f>
        <v>#REF!</v>
      </c>
      <c r="E8" s="68"/>
      <c r="F8" s="34" t="s">
        <v>191</v>
      </c>
      <c r="G8" s="82" t="e">
        <f>中概互联实时折溢价!#REF!</f>
        <v>#REF!</v>
      </c>
      <c r="H8" s="35" t="e">
        <f>B5*H2/C2*J8/中概互联实时折溢价!#REF!</f>
        <v>#REF!</v>
      </c>
      <c r="I8" s="35" t="e">
        <f t="shared" si="0"/>
        <v>#REF!</v>
      </c>
      <c r="J8" s="42" t="e">
        <f>中概互联实时折溢价!#REF!</f>
        <v>#REF!</v>
      </c>
      <c r="K8" s="35"/>
    </row>
    <row r="9" spans="1:11" ht="15" customHeight="1" x14ac:dyDescent="0.25">
      <c r="F9" s="34" t="s">
        <v>160</v>
      </c>
      <c r="G9" s="82" t="e">
        <f>中概互联实时折溢价!#REF!</f>
        <v>#REF!</v>
      </c>
      <c r="H9" s="35" t="e">
        <f>B5*H2/C2*J9/中概互联实时折溢价!#REF!</f>
        <v>#REF!</v>
      </c>
      <c r="I9" s="35" t="e">
        <f t="shared" si="0"/>
        <v>#REF!</v>
      </c>
      <c r="J9" s="42" t="e">
        <f>中概互联实时折溢价!#REF!</f>
        <v>#REF!</v>
      </c>
      <c r="K9" s="35"/>
    </row>
    <row r="10" spans="1:11" ht="15" customHeight="1" x14ac:dyDescent="0.25"/>
    <row r="11" spans="1:11" ht="15" customHeight="1" x14ac:dyDescent="0.25">
      <c r="F11" s="47"/>
    </row>
    <row r="12" spans="1:11" ht="15" customHeight="1" x14ac:dyDescent="0.25"/>
    <row r="13" spans="1:11" ht="15" customHeight="1" x14ac:dyDescent="0.25"/>
    <row r="14" spans="1:11" ht="15" customHeight="1" x14ac:dyDescent="0.25"/>
    <row r="29" spans="16:16" x14ac:dyDescent="0.25">
      <c r="P29" s="3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workbookViewId="0">
      <selection activeCell="E7" sqref="E7"/>
    </sheetView>
  </sheetViews>
  <sheetFormatPr defaultColWidth="9.1796875" defaultRowHeight="14" x14ac:dyDescent="0.25"/>
  <cols>
    <col min="1" max="1" width="15.453125" style="10" bestFit="1" customWidth="1"/>
    <col min="2" max="2" width="13.1796875" style="10" bestFit="1" customWidth="1"/>
    <col min="3" max="3" width="13.81640625" style="10" bestFit="1" customWidth="1"/>
    <col min="4" max="5" width="11.54296875" style="13" bestFit="1" customWidth="1"/>
    <col min="6" max="6" width="13.1796875" style="10" customWidth="1"/>
    <col min="7" max="7" width="12.7265625" style="10" bestFit="1" customWidth="1"/>
    <col min="8" max="8" width="15.7265625" style="10" bestFit="1" customWidth="1"/>
    <col min="9" max="9" width="13.54296875" style="10" customWidth="1"/>
    <col min="10" max="10" width="11.26953125" style="10" customWidth="1"/>
    <col min="11" max="11" width="13.81640625" style="10" bestFit="1" customWidth="1"/>
    <col min="12" max="12" width="11.54296875" style="10" bestFit="1" customWidth="1"/>
    <col min="13" max="13" width="9.1796875" style="10"/>
    <col min="14" max="14" width="13.26953125" style="10" bestFit="1" customWidth="1"/>
    <col min="15" max="15" width="10.7265625" style="10" bestFit="1" customWidth="1"/>
    <col min="16" max="19" width="15.7265625" style="10" bestFit="1" customWidth="1"/>
    <col min="20" max="20" width="13.26953125" style="10" bestFit="1" customWidth="1"/>
    <col min="21" max="16384" width="9.1796875" style="10"/>
  </cols>
  <sheetData>
    <row r="1" spans="1:11" x14ac:dyDescent="0.25">
      <c r="D1" s="14" t="s">
        <v>306</v>
      </c>
      <c r="E1" s="14" t="s">
        <v>146</v>
      </c>
      <c r="F1" s="7"/>
      <c r="G1" s="7"/>
    </row>
    <row r="2" spans="1:11" s="8" customFormat="1" ht="17.5" x14ac:dyDescent="0.25">
      <c r="A2" s="7" t="s">
        <v>137</v>
      </c>
      <c r="B2" s="11">
        <v>45489</v>
      </c>
      <c r="C2" s="7" t="s">
        <v>147</v>
      </c>
      <c r="D2" s="29">
        <f>监控界面!B2</f>
        <v>7.2673000000000005</v>
      </c>
      <c r="E2" s="29">
        <f>监控界面!C2+0</f>
        <v>0.93110000000000004</v>
      </c>
      <c r="F2" s="13"/>
      <c r="G2" s="13"/>
      <c r="H2" s="65"/>
      <c r="I2" s="7"/>
    </row>
    <row r="3" spans="1:11" ht="17.5" x14ac:dyDescent="0.25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60"/>
    </row>
    <row r="4" spans="1:11" ht="17.5" x14ac:dyDescent="0.25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 x14ac:dyDescent="0.25">
      <c r="A5" s="89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" x14ac:dyDescent="0.25">
      <c r="A6" s="8"/>
      <c r="B6" s="16"/>
      <c r="C6" s="18"/>
      <c r="D6" s="14"/>
      <c r="E6" s="16"/>
      <c r="F6" s="18"/>
      <c r="G6" s="28"/>
      <c r="H6" s="28"/>
      <c r="I6" s="7"/>
      <c r="K6" s="32"/>
    </row>
    <row r="7" spans="1:11" ht="17.5" x14ac:dyDescent="0.25">
      <c r="A7" s="8"/>
      <c r="C7" s="29"/>
      <c r="D7" s="12"/>
      <c r="F7" s="12"/>
      <c r="H7" s="33"/>
      <c r="I7" s="17"/>
      <c r="J7" s="17"/>
      <c r="K7" s="13"/>
    </row>
    <row r="8" spans="1:11" ht="17.5" x14ac:dyDescent="0.25">
      <c r="A8" s="8"/>
      <c r="C8" s="60"/>
      <c r="D8" s="12"/>
      <c r="H8" s="15"/>
      <c r="I8" s="17"/>
      <c r="J8" s="17"/>
      <c r="K8" s="13"/>
    </row>
    <row r="9" spans="1:11" x14ac:dyDescent="0.25">
      <c r="I9" s="17"/>
    </row>
    <row r="10" spans="1:11" ht="17.5" x14ac:dyDescent="0.25">
      <c r="A10" s="8"/>
      <c r="D10" s="31"/>
      <c r="E10" s="10"/>
      <c r="G10" s="12"/>
      <c r="H10" s="15"/>
      <c r="I10" s="17"/>
      <c r="K10" s="25"/>
    </row>
    <row r="12" spans="1:11" x14ac:dyDescent="0.25">
      <c r="A12" s="21"/>
      <c r="B12" s="22"/>
      <c r="C12" s="21"/>
      <c r="D12" s="2"/>
      <c r="E12" s="23"/>
      <c r="F12" s="23"/>
      <c r="G12" s="23"/>
      <c r="H12" s="26"/>
      <c r="I12" s="1"/>
      <c r="J12" s="1"/>
    </row>
    <row r="13" spans="1:11" x14ac:dyDescent="0.25">
      <c r="A13" s="4"/>
      <c r="B13" s="6"/>
      <c r="C13" s="24"/>
      <c r="D13" s="4"/>
      <c r="E13" s="25"/>
      <c r="F13" s="25"/>
      <c r="G13" s="25"/>
      <c r="H13" s="4"/>
      <c r="I13" s="25"/>
      <c r="J13" s="25"/>
    </row>
    <row r="14" spans="1:11" x14ac:dyDescent="0.25">
      <c r="A14" s="22"/>
    </row>
    <row r="15" spans="1:11" x14ac:dyDescent="0.25">
      <c r="A15" s="30"/>
      <c r="B15" s="30"/>
      <c r="H15" s="27"/>
    </row>
    <row r="19" spans="1:17" x14ac:dyDescent="0.25">
      <c r="I19" s="6"/>
    </row>
    <row r="22" spans="1:17" x14ac:dyDescent="0.25">
      <c r="C22" s="7"/>
      <c r="D22" s="14"/>
      <c r="E22" s="14"/>
    </row>
    <row r="23" spans="1:17" ht="17.5" x14ac:dyDescent="0.25">
      <c r="A23" s="8"/>
      <c r="C23" s="12"/>
      <c r="D23" s="12"/>
      <c r="F23" s="12"/>
      <c r="H23" s="33"/>
      <c r="I23" s="17"/>
      <c r="Q23" s="13"/>
    </row>
    <row r="24" spans="1:17" ht="17.5" x14ac:dyDescent="0.25">
      <c r="A24" s="8"/>
      <c r="C24" s="60"/>
      <c r="D24" s="12"/>
      <c r="H24" s="15"/>
      <c r="I24" s="15"/>
    </row>
    <row r="26" spans="1:17" ht="17.5" x14ac:dyDescent="0.25">
      <c r="H26" s="15"/>
      <c r="I26" s="6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I40"/>
  <sheetViews>
    <sheetView tabSelected="1" zoomScaleNormal="100" workbookViewId="0">
      <selection activeCell="K9" sqref="K9"/>
    </sheetView>
  </sheetViews>
  <sheetFormatPr defaultColWidth="9.1796875" defaultRowHeight="13" x14ac:dyDescent="0.25"/>
  <cols>
    <col min="1" max="1" width="16.6328125" style="48" customWidth="1"/>
    <col min="2" max="2" width="12.6328125" style="49" customWidth="1"/>
    <col min="3" max="3" width="13.6328125" style="49" customWidth="1"/>
    <col min="4" max="4" width="14.6328125" style="49" customWidth="1"/>
    <col min="5" max="5" width="16.6328125" style="49" customWidth="1"/>
    <col min="6" max="6" width="14.6328125" style="49" customWidth="1"/>
    <col min="7" max="7" width="11.6328125" style="49" customWidth="1"/>
    <col min="8" max="8" width="9" style="49" customWidth="1"/>
    <col min="9" max="9" width="11.453125" style="59" customWidth="1"/>
    <col min="10" max="10" width="12.54296875" style="49" customWidth="1"/>
    <col min="11" max="11" width="15.7265625" style="49" customWidth="1"/>
    <col min="12" max="12" width="18.7265625" style="49" bestFit="1" customWidth="1"/>
    <col min="13" max="16" width="9.1796875" style="49"/>
    <col min="17" max="17" width="12.26953125" style="49" customWidth="1"/>
    <col min="18" max="16384" width="9.1796875" style="49"/>
  </cols>
  <sheetData>
    <row r="1" spans="1:9" ht="27.75" customHeight="1" x14ac:dyDescent="0.25">
      <c r="A1" s="71" t="s">
        <v>0</v>
      </c>
      <c r="B1" s="72" t="s">
        <v>314</v>
      </c>
      <c r="C1" s="73"/>
      <c r="I1" s="49"/>
    </row>
    <row r="2" spans="1:9" x14ac:dyDescent="0.25">
      <c r="A2" s="71" t="s">
        <v>229</v>
      </c>
      <c r="B2" s="51" t="s">
        <v>322</v>
      </c>
      <c r="C2" s="50"/>
      <c r="D2" s="93">
        <v>45488</v>
      </c>
      <c r="E2" s="49">
        <v>20240716</v>
      </c>
      <c r="F2" s="93">
        <v>45485</v>
      </c>
      <c r="I2" s="49"/>
    </row>
    <row r="3" spans="1:9" x14ac:dyDescent="0.25">
      <c r="A3" s="71" t="s">
        <v>3</v>
      </c>
      <c r="B3" s="51" t="s">
        <v>309</v>
      </c>
      <c r="I3" s="49"/>
    </row>
    <row r="4" spans="1:9" x14ac:dyDescent="0.25">
      <c r="A4" s="49" t="s">
        <v>4</v>
      </c>
      <c r="B4" s="51" t="s">
        <v>5</v>
      </c>
      <c r="C4" s="49" t="s">
        <v>6</v>
      </c>
      <c r="D4" s="49" t="s">
        <v>7</v>
      </c>
      <c r="E4" s="49" t="s">
        <v>8</v>
      </c>
      <c r="F4" s="49" t="s">
        <v>9</v>
      </c>
      <c r="G4" s="49" t="s">
        <v>308</v>
      </c>
      <c r="I4" s="49"/>
    </row>
    <row r="5" spans="1:9" ht="29.25" customHeight="1" x14ac:dyDescent="0.25">
      <c r="A5" s="71" t="s">
        <v>2</v>
      </c>
      <c r="B5" s="71" t="s">
        <v>3</v>
      </c>
      <c r="C5" s="71" t="s">
        <v>11</v>
      </c>
      <c r="D5" s="71" t="s">
        <v>12</v>
      </c>
      <c r="E5" s="71" t="s">
        <v>13</v>
      </c>
      <c r="F5" s="74" t="s">
        <v>14</v>
      </c>
      <c r="G5" s="71" t="s">
        <v>15</v>
      </c>
      <c r="H5" s="90"/>
      <c r="I5" s="49"/>
    </row>
    <row r="6" spans="1:9" x14ac:dyDescent="0.2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45489</v>
      </c>
      <c r="B6" s="52" t="s">
        <v>317</v>
      </c>
      <c r="C6" s="52" t="s">
        <v>321</v>
      </c>
      <c r="D6" s="58">
        <v>942</v>
      </c>
      <c r="E6" s="52" t="s">
        <v>320</v>
      </c>
      <c r="F6" s="58">
        <v>10</v>
      </c>
      <c r="G6" s="53">
        <v>2847.97</v>
      </c>
      <c r="H6" s="55"/>
      <c r="I6" s="49"/>
    </row>
    <row r="7" spans="1:9" x14ac:dyDescent="0.25">
      <c r="A7" s="54">
        <v>45489</v>
      </c>
      <c r="B7" s="52" t="s">
        <v>164</v>
      </c>
      <c r="C7" s="52" t="s">
        <v>165</v>
      </c>
      <c r="D7" s="58">
        <v>916</v>
      </c>
      <c r="E7" s="52" t="s">
        <v>16</v>
      </c>
      <c r="F7" s="58">
        <v>10</v>
      </c>
      <c r="G7" s="53">
        <v>332156.09999999998</v>
      </c>
      <c r="H7" s="55"/>
      <c r="I7" s="49"/>
    </row>
    <row r="8" spans="1:9" x14ac:dyDescent="0.25">
      <c r="A8" s="54">
        <v>45489</v>
      </c>
      <c r="B8" s="52" t="s">
        <v>30</v>
      </c>
      <c r="C8" s="52" t="s">
        <v>31</v>
      </c>
      <c r="D8" s="58">
        <v>75</v>
      </c>
      <c r="E8" s="52" t="s">
        <v>16</v>
      </c>
      <c r="F8" s="58">
        <v>10</v>
      </c>
      <c r="G8" s="53">
        <v>1811.94</v>
      </c>
      <c r="H8" s="55"/>
      <c r="I8" s="49"/>
    </row>
    <row r="9" spans="1:9" x14ac:dyDescent="0.25">
      <c r="A9" s="61">
        <v>45489</v>
      </c>
      <c r="B9" s="62" t="s">
        <v>158</v>
      </c>
      <c r="C9" s="62" t="s">
        <v>243</v>
      </c>
      <c r="D9" s="63">
        <v>198</v>
      </c>
      <c r="E9" s="62" t="s">
        <v>16</v>
      </c>
      <c r="F9" s="63">
        <v>10</v>
      </c>
      <c r="G9" s="64">
        <v>2785.11</v>
      </c>
      <c r="H9" s="55"/>
      <c r="I9" s="49"/>
    </row>
    <row r="10" spans="1:9" x14ac:dyDescent="0.25">
      <c r="A10" s="61">
        <v>45489</v>
      </c>
      <c r="B10" s="62" t="s">
        <v>189</v>
      </c>
      <c r="C10" s="62" t="s">
        <v>190</v>
      </c>
      <c r="D10" s="63">
        <v>444</v>
      </c>
      <c r="E10" s="62" t="s">
        <v>16</v>
      </c>
      <c r="F10" s="63">
        <v>10</v>
      </c>
      <c r="G10" s="64">
        <v>19932.54</v>
      </c>
      <c r="H10" s="55"/>
      <c r="I10" s="49"/>
    </row>
    <row r="11" spans="1:9" x14ac:dyDescent="0.25">
      <c r="A11" s="61">
        <v>45489</v>
      </c>
      <c r="B11" s="62" t="s">
        <v>276</v>
      </c>
      <c r="C11" s="62" t="s">
        <v>277</v>
      </c>
      <c r="D11" s="63">
        <v>75</v>
      </c>
      <c r="E11" s="62" t="s">
        <v>16</v>
      </c>
      <c r="F11" s="63">
        <v>10</v>
      </c>
      <c r="G11" s="64">
        <v>826.16</v>
      </c>
      <c r="H11" s="55"/>
      <c r="I11" s="49"/>
    </row>
    <row r="12" spans="1:9" x14ac:dyDescent="0.25">
      <c r="A12" s="61">
        <v>45489</v>
      </c>
      <c r="B12" s="62" t="s">
        <v>172</v>
      </c>
      <c r="C12" s="62" t="s">
        <v>173</v>
      </c>
      <c r="D12" s="63">
        <v>2563</v>
      </c>
      <c r="E12" s="62" t="s">
        <v>16</v>
      </c>
      <c r="F12" s="63">
        <v>10</v>
      </c>
      <c r="G12" s="64">
        <v>39422.75</v>
      </c>
      <c r="H12" s="55"/>
      <c r="I12" s="49"/>
    </row>
    <row r="13" spans="1:9" x14ac:dyDescent="0.25">
      <c r="A13" s="61">
        <v>45489</v>
      </c>
      <c r="B13" s="62" t="s">
        <v>166</v>
      </c>
      <c r="C13" s="62" t="s">
        <v>167</v>
      </c>
      <c r="D13" s="63">
        <v>98</v>
      </c>
      <c r="E13" s="62" t="s">
        <v>16</v>
      </c>
      <c r="F13" s="63">
        <v>10</v>
      </c>
      <c r="G13" s="64">
        <v>966.73</v>
      </c>
      <c r="H13" s="55"/>
      <c r="I13" s="49"/>
    </row>
    <row r="14" spans="1:9" x14ac:dyDescent="0.25">
      <c r="A14" s="61">
        <v>45489</v>
      </c>
      <c r="B14" s="62" t="s">
        <v>132</v>
      </c>
      <c r="C14" s="62" t="s">
        <v>179</v>
      </c>
      <c r="D14" s="63">
        <v>912</v>
      </c>
      <c r="E14" s="62" t="s">
        <v>16</v>
      </c>
      <c r="F14" s="63">
        <v>10</v>
      </c>
      <c r="G14" s="64">
        <v>101460.82</v>
      </c>
      <c r="H14" s="55"/>
      <c r="I14" s="49"/>
    </row>
    <row r="15" spans="1:9" x14ac:dyDescent="0.25">
      <c r="A15" s="61">
        <v>45489</v>
      </c>
      <c r="B15" s="62" t="s">
        <v>18</v>
      </c>
      <c r="C15" s="62" t="s">
        <v>19</v>
      </c>
      <c r="D15" s="63">
        <v>140</v>
      </c>
      <c r="E15" s="62" t="s">
        <v>16</v>
      </c>
      <c r="F15" s="63">
        <v>10</v>
      </c>
      <c r="G15" s="64">
        <v>2941.12</v>
      </c>
      <c r="H15" s="55"/>
      <c r="I15" s="49"/>
    </row>
    <row r="16" spans="1:9" x14ac:dyDescent="0.25">
      <c r="A16" s="61">
        <v>45489</v>
      </c>
      <c r="B16" s="62" t="s">
        <v>181</v>
      </c>
      <c r="C16" s="62" t="s">
        <v>182</v>
      </c>
      <c r="D16" s="63">
        <v>125</v>
      </c>
      <c r="E16" s="62" t="s">
        <v>16</v>
      </c>
      <c r="F16" s="63">
        <v>10</v>
      </c>
      <c r="G16" s="64">
        <v>1536.78</v>
      </c>
      <c r="H16" s="55"/>
      <c r="I16" s="49"/>
    </row>
    <row r="17" spans="1:9" x14ac:dyDescent="0.25">
      <c r="A17" s="61">
        <v>45489</v>
      </c>
      <c r="B17" s="62" t="s">
        <v>183</v>
      </c>
      <c r="C17" s="62" t="s">
        <v>184</v>
      </c>
      <c r="D17" s="63">
        <v>187</v>
      </c>
      <c r="E17" s="62" t="s">
        <v>16</v>
      </c>
      <c r="F17" s="63">
        <v>10</v>
      </c>
      <c r="G17" s="64">
        <v>3885.79</v>
      </c>
      <c r="H17" s="55"/>
      <c r="I17" s="49"/>
    </row>
    <row r="18" spans="1:9" x14ac:dyDescent="0.25">
      <c r="A18" s="61">
        <v>45489</v>
      </c>
      <c r="B18" s="62" t="s">
        <v>253</v>
      </c>
      <c r="C18" s="62" t="s">
        <v>254</v>
      </c>
      <c r="D18" s="63">
        <v>370</v>
      </c>
      <c r="E18" s="62" t="s">
        <v>16</v>
      </c>
      <c r="F18" s="63">
        <v>10</v>
      </c>
      <c r="G18" s="64">
        <v>37850.879999999997</v>
      </c>
      <c r="H18" s="55"/>
      <c r="I18" s="49"/>
    </row>
    <row r="19" spans="1:9" x14ac:dyDescent="0.25">
      <c r="A19" s="61">
        <v>45489</v>
      </c>
      <c r="B19" s="62" t="s">
        <v>255</v>
      </c>
      <c r="C19" s="62" t="s">
        <v>265</v>
      </c>
      <c r="D19" s="63">
        <v>42</v>
      </c>
      <c r="E19" s="62" t="s">
        <v>16</v>
      </c>
      <c r="F19" s="63">
        <v>10</v>
      </c>
      <c r="G19" s="64">
        <v>5236.46</v>
      </c>
      <c r="H19" s="55"/>
      <c r="I19" s="49"/>
    </row>
    <row r="20" spans="1:9" x14ac:dyDescent="0.25">
      <c r="A20" s="61">
        <v>45489</v>
      </c>
      <c r="B20" s="62" t="s">
        <v>302</v>
      </c>
      <c r="C20" s="62" t="s">
        <v>303</v>
      </c>
      <c r="D20" s="63">
        <v>56</v>
      </c>
      <c r="E20" s="62" t="s">
        <v>17</v>
      </c>
      <c r="F20" s="63">
        <v>0</v>
      </c>
      <c r="G20" s="64">
        <v>415.85</v>
      </c>
      <c r="H20" s="55"/>
      <c r="I20" s="49"/>
    </row>
    <row r="21" spans="1:9" x14ac:dyDescent="0.25">
      <c r="A21" s="61">
        <v>45489</v>
      </c>
      <c r="B21" s="62" t="s">
        <v>256</v>
      </c>
      <c r="C21" s="62" t="s">
        <v>257</v>
      </c>
      <c r="D21" s="63">
        <v>414</v>
      </c>
      <c r="E21" s="62" t="s">
        <v>16</v>
      </c>
      <c r="F21" s="63">
        <v>10</v>
      </c>
      <c r="G21" s="64">
        <v>37625.269999999997</v>
      </c>
      <c r="H21" s="55"/>
      <c r="I21" s="49"/>
    </row>
    <row r="22" spans="1:9" x14ac:dyDescent="0.25">
      <c r="A22" s="61">
        <v>45489</v>
      </c>
      <c r="B22" s="62" t="s">
        <v>304</v>
      </c>
      <c r="C22" s="62" t="s">
        <v>305</v>
      </c>
      <c r="D22" s="63">
        <v>31</v>
      </c>
      <c r="E22" s="62" t="s">
        <v>17</v>
      </c>
      <c r="F22" s="63">
        <v>0</v>
      </c>
      <c r="G22" s="64">
        <v>359.04</v>
      </c>
      <c r="H22" s="55"/>
      <c r="I22" s="49"/>
    </row>
    <row r="23" spans="1:9" x14ac:dyDescent="0.25">
      <c r="A23" s="61">
        <v>45489</v>
      </c>
      <c r="B23" s="62" t="s">
        <v>258</v>
      </c>
      <c r="C23" s="62" t="s">
        <v>259</v>
      </c>
      <c r="D23" s="63">
        <v>100</v>
      </c>
      <c r="E23" s="62" t="s">
        <v>16</v>
      </c>
      <c r="F23" s="63">
        <v>10</v>
      </c>
      <c r="G23" s="64">
        <v>36133.71</v>
      </c>
      <c r="H23" s="55"/>
      <c r="I23" s="49"/>
    </row>
    <row r="24" spans="1:9" x14ac:dyDescent="0.25">
      <c r="A24" s="61">
        <v>45489</v>
      </c>
      <c r="B24" s="62" t="s">
        <v>260</v>
      </c>
      <c r="C24" s="62" t="s">
        <v>261</v>
      </c>
      <c r="D24" s="63">
        <v>3100</v>
      </c>
      <c r="E24" s="62" t="s">
        <v>16</v>
      </c>
      <c r="F24" s="63">
        <v>10</v>
      </c>
      <c r="G24" s="64">
        <v>221990.31</v>
      </c>
      <c r="H24" s="55"/>
      <c r="I24" s="49"/>
    </row>
    <row r="25" spans="1:9" x14ac:dyDescent="0.25">
      <c r="A25" s="61">
        <v>45489</v>
      </c>
      <c r="B25" s="62" t="s">
        <v>262</v>
      </c>
      <c r="C25" s="62" t="s">
        <v>263</v>
      </c>
      <c r="D25" s="63">
        <v>288</v>
      </c>
      <c r="E25" s="62" t="s">
        <v>16</v>
      </c>
      <c r="F25" s="63">
        <v>10</v>
      </c>
      <c r="G25" s="64">
        <v>37880.11</v>
      </c>
      <c r="H25" s="55"/>
      <c r="I25" s="49"/>
    </row>
    <row r="26" spans="1:9" x14ac:dyDescent="0.25">
      <c r="A26" s="3">
        <v>45489</v>
      </c>
      <c r="B26" s="5" t="s">
        <v>20</v>
      </c>
      <c r="C26" s="5" t="s">
        <v>21</v>
      </c>
      <c r="D26" s="57">
        <v>11</v>
      </c>
      <c r="E26" s="5" t="s">
        <v>16</v>
      </c>
      <c r="F26" s="57">
        <v>10</v>
      </c>
      <c r="G26" s="20">
        <v>2213.7600000000002</v>
      </c>
      <c r="H26" s="55"/>
      <c r="I26" s="49"/>
    </row>
    <row r="27" spans="1:9" x14ac:dyDescent="0.25">
      <c r="A27" s="3">
        <v>45489</v>
      </c>
      <c r="B27" s="5" t="s">
        <v>174</v>
      </c>
      <c r="C27" s="5" t="s">
        <v>194</v>
      </c>
      <c r="D27" s="57">
        <v>108</v>
      </c>
      <c r="E27" s="5" t="s">
        <v>16</v>
      </c>
      <c r="F27" s="57">
        <v>10</v>
      </c>
      <c r="G27" s="20">
        <v>12038.26</v>
      </c>
      <c r="H27" s="55"/>
      <c r="I27" s="49"/>
    </row>
    <row r="28" spans="1:9" x14ac:dyDescent="0.25">
      <c r="A28" s="3">
        <v>45489</v>
      </c>
      <c r="B28" s="5" t="s">
        <v>231</v>
      </c>
      <c r="C28" s="5" t="s">
        <v>232</v>
      </c>
      <c r="D28" s="57">
        <v>65</v>
      </c>
      <c r="E28" s="5" t="s">
        <v>16</v>
      </c>
      <c r="F28" s="57">
        <v>10</v>
      </c>
      <c r="G28" s="20">
        <v>8849.1200000000008</v>
      </c>
      <c r="H28" s="55"/>
      <c r="I28" s="49"/>
    </row>
    <row r="29" spans="1:9" x14ac:dyDescent="0.25">
      <c r="A29" s="3">
        <v>45489</v>
      </c>
      <c r="B29" s="5" t="s">
        <v>29</v>
      </c>
      <c r="C29" s="5" t="s">
        <v>195</v>
      </c>
      <c r="D29" s="57">
        <v>46</v>
      </c>
      <c r="E29" s="5" t="s">
        <v>16</v>
      </c>
      <c r="F29" s="57">
        <v>10</v>
      </c>
      <c r="G29" s="20">
        <v>1312.2</v>
      </c>
      <c r="H29" s="55"/>
      <c r="I29" s="49"/>
    </row>
    <row r="30" spans="1:9" x14ac:dyDescent="0.25">
      <c r="A30" s="3">
        <v>45489</v>
      </c>
      <c r="B30" s="5" t="s">
        <v>180</v>
      </c>
      <c r="C30" s="5" t="s">
        <v>196</v>
      </c>
      <c r="D30" s="57">
        <v>34</v>
      </c>
      <c r="E30" s="5" t="s">
        <v>16</v>
      </c>
      <c r="F30" s="57">
        <v>10</v>
      </c>
      <c r="G30" s="20">
        <v>715.29</v>
      </c>
      <c r="H30" s="55"/>
      <c r="I30" s="49"/>
    </row>
    <row r="31" spans="1:9" x14ac:dyDescent="0.25">
      <c r="A31" s="3">
        <v>45489</v>
      </c>
      <c r="B31" s="5" t="s">
        <v>150</v>
      </c>
      <c r="C31" s="5" t="s">
        <v>151</v>
      </c>
      <c r="D31" s="57">
        <v>122</v>
      </c>
      <c r="E31" s="5" t="s">
        <v>16</v>
      </c>
      <c r="F31" s="57">
        <v>10</v>
      </c>
      <c r="G31" s="20">
        <v>123911.52</v>
      </c>
      <c r="H31" s="55"/>
      <c r="I31" s="49"/>
    </row>
    <row r="32" spans="1:9" x14ac:dyDescent="0.25">
      <c r="A32" s="3">
        <v>45489</v>
      </c>
      <c r="B32" s="5" t="s">
        <v>192</v>
      </c>
      <c r="C32" s="5" t="s">
        <v>284</v>
      </c>
      <c r="D32" s="57">
        <v>23</v>
      </c>
      <c r="E32" s="5" t="s">
        <v>16</v>
      </c>
      <c r="F32" s="57">
        <v>10</v>
      </c>
      <c r="G32" s="20">
        <v>3354.3</v>
      </c>
      <c r="H32" s="55"/>
      <c r="I32" s="49"/>
    </row>
    <row r="33" spans="1:9" x14ac:dyDescent="0.25">
      <c r="A33" s="3">
        <v>45489</v>
      </c>
      <c r="B33" s="5" t="s">
        <v>22</v>
      </c>
      <c r="C33" s="5" t="s">
        <v>23</v>
      </c>
      <c r="D33" s="57">
        <v>75</v>
      </c>
      <c r="E33" s="5" t="s">
        <v>16</v>
      </c>
      <c r="F33" s="57">
        <v>10</v>
      </c>
      <c r="G33" s="20">
        <v>5781.86</v>
      </c>
      <c r="H33" s="55"/>
      <c r="I33" s="49"/>
    </row>
    <row r="34" spans="1:9" x14ac:dyDescent="0.25">
      <c r="A34" s="3">
        <v>45489</v>
      </c>
      <c r="B34" s="5" t="s">
        <v>153</v>
      </c>
      <c r="C34" s="5" t="s">
        <v>154</v>
      </c>
      <c r="D34" s="57">
        <v>100</v>
      </c>
      <c r="E34" s="5" t="s">
        <v>16</v>
      </c>
      <c r="F34" s="57">
        <v>10</v>
      </c>
      <c r="G34" s="20">
        <v>10789.96</v>
      </c>
      <c r="H34" s="55"/>
      <c r="I34" s="49"/>
    </row>
    <row r="35" spans="1:9" x14ac:dyDescent="0.25">
      <c r="A35" s="3">
        <v>45489</v>
      </c>
      <c r="B35" s="5" t="s">
        <v>24</v>
      </c>
      <c r="C35" s="5" t="s">
        <v>25</v>
      </c>
      <c r="D35" s="57">
        <v>56</v>
      </c>
      <c r="E35" s="5" t="s">
        <v>16</v>
      </c>
      <c r="F35" s="57">
        <v>10</v>
      </c>
      <c r="G35" s="20">
        <v>5635.03</v>
      </c>
      <c r="H35" s="55"/>
      <c r="I35" s="49"/>
    </row>
    <row r="36" spans="1:9" x14ac:dyDescent="0.25">
      <c r="A36" s="3">
        <v>45489</v>
      </c>
      <c r="B36" s="5" t="s">
        <v>26</v>
      </c>
      <c r="C36" s="5" t="s">
        <v>27</v>
      </c>
      <c r="D36" s="57">
        <v>14</v>
      </c>
      <c r="E36" s="5" t="s">
        <v>17</v>
      </c>
      <c r="F36" s="57">
        <v>0</v>
      </c>
      <c r="G36" s="20">
        <v>848.65</v>
      </c>
      <c r="H36" s="55"/>
      <c r="I36" s="49"/>
    </row>
    <row r="37" spans="1:9" x14ac:dyDescent="0.25">
      <c r="A37" s="3">
        <v>45489</v>
      </c>
      <c r="B37" s="5" t="s">
        <v>193</v>
      </c>
      <c r="C37" s="5" t="s">
        <v>197</v>
      </c>
      <c r="D37" s="57">
        <v>153</v>
      </c>
      <c r="E37" s="5" t="s">
        <v>16</v>
      </c>
      <c r="F37" s="57">
        <v>10</v>
      </c>
      <c r="G37" s="20">
        <v>9001.74</v>
      </c>
      <c r="H37" s="55"/>
      <c r="I37" s="49"/>
    </row>
    <row r="38" spans="1:9" x14ac:dyDescent="0.25">
      <c r="A38" s="3">
        <v>45489</v>
      </c>
      <c r="B38" s="5" t="s">
        <v>28</v>
      </c>
      <c r="C38" s="5" t="s">
        <v>162</v>
      </c>
      <c r="D38" s="57">
        <v>5</v>
      </c>
      <c r="E38" s="5" t="s">
        <v>16</v>
      </c>
      <c r="F38" s="57">
        <v>10</v>
      </c>
      <c r="G38" s="20">
        <v>1236.5999999999999</v>
      </c>
      <c r="H38" s="55"/>
      <c r="I38" s="49"/>
    </row>
    <row r="39" spans="1:9" x14ac:dyDescent="0.25">
      <c r="A39"/>
      <c r="B39"/>
      <c r="C39"/>
      <c r="D39"/>
      <c r="E39"/>
      <c r="F39"/>
      <c r="G39" s="91"/>
      <c r="H39" s="56"/>
      <c r="I39" s="56"/>
    </row>
    <row r="40" spans="1:9" x14ac:dyDescent="0.25">
      <c r="A40"/>
      <c r="B40"/>
      <c r="C40"/>
      <c r="D40"/>
      <c r="E40"/>
      <c r="F40"/>
      <c r="G40"/>
      <c r="H40" s="70"/>
      <c r="I40" s="70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10"/>
  <sheetViews>
    <sheetView zoomScaleNormal="100" workbookViewId="0">
      <selection activeCell="I19" sqref="I19"/>
    </sheetView>
  </sheetViews>
  <sheetFormatPr defaultRowHeight="12.5" x14ac:dyDescent="0.25"/>
  <cols>
    <col min="1" max="1" width="13.6328125" customWidth="1"/>
    <col min="2" max="2" width="12.6328125" customWidth="1"/>
    <col min="3" max="3" width="44.6328125" customWidth="1"/>
    <col min="4" max="4" width="10.6328125" customWidth="1"/>
    <col min="5" max="5" width="11.6328125" customWidth="1"/>
    <col min="6" max="6" width="15.6328125" customWidth="1"/>
    <col min="7" max="7" width="13.6328125" style="19" customWidth="1"/>
    <col min="8" max="8" width="12.54296875" style="6" customWidth="1"/>
    <col min="9" max="9" width="12.26953125" style="6" customWidth="1"/>
    <col min="10" max="10" width="15.81640625" style="6" customWidth="1"/>
  </cols>
  <sheetData>
    <row r="1" spans="1:11" ht="25" x14ac:dyDescent="0.25">
      <c r="A1" s="77" t="s">
        <v>0</v>
      </c>
      <c r="B1" s="78" t="s">
        <v>1</v>
      </c>
      <c r="C1" s="76"/>
      <c r="D1" s="1"/>
      <c r="E1" s="2"/>
      <c r="F1" s="2"/>
      <c r="G1" s="2"/>
      <c r="I1" s="22"/>
      <c r="J1" s="22"/>
    </row>
    <row r="2" spans="1:11" ht="13" x14ac:dyDescent="0.25">
      <c r="A2" s="75" t="s">
        <v>157</v>
      </c>
      <c r="B2" s="5" t="s">
        <v>315</v>
      </c>
      <c r="C2" s="3"/>
      <c r="E2" s="4"/>
      <c r="F2" s="5" t="s">
        <v>316</v>
      </c>
      <c r="G2" s="3">
        <v>45485</v>
      </c>
      <c r="H2" s="4"/>
      <c r="I2" s="4"/>
      <c r="J2" s="4"/>
      <c r="K2" s="92">
        <v>45488</v>
      </c>
    </row>
    <row r="3" spans="1:11" x14ac:dyDescent="0.25">
      <c r="A3" s="77" t="s">
        <v>3</v>
      </c>
      <c r="B3" s="5" t="s">
        <v>131</v>
      </c>
    </row>
    <row r="4" spans="1:11" x14ac:dyDescent="0.25">
      <c r="A4" t="s">
        <v>4</v>
      </c>
      <c r="B4" s="5" t="s">
        <v>32</v>
      </c>
      <c r="C4" t="s">
        <v>6</v>
      </c>
      <c r="D4" t="s">
        <v>7</v>
      </c>
      <c r="E4" t="s">
        <v>8</v>
      </c>
      <c r="F4" t="s">
        <v>9</v>
      </c>
      <c r="G4" s="19" t="s">
        <v>10</v>
      </c>
    </row>
    <row r="5" spans="1:11" ht="25" x14ac:dyDescent="0.25">
      <c r="A5" s="77" t="s">
        <v>2</v>
      </c>
      <c r="B5" s="77" t="s">
        <v>3</v>
      </c>
      <c r="C5" s="77" t="s">
        <v>11</v>
      </c>
      <c r="D5" s="77" t="s">
        <v>12</v>
      </c>
      <c r="E5" s="79" t="s">
        <v>13</v>
      </c>
      <c r="F5" s="79" t="s">
        <v>14</v>
      </c>
      <c r="G5" s="80" t="s">
        <v>15</v>
      </c>
      <c r="H5" s="81"/>
      <c r="I5" s="81"/>
      <c r="J5" s="81"/>
    </row>
    <row r="6" spans="1:11" x14ac:dyDescent="0.25">
      <c r="A6" s="3">
        <f>[1]!wset("etfconstituent","date="&amp;B2,"windcode="&amp;B3,"field=date,wind_code,sec_name,volume,cash_substitution_mark,cash_substitution_premium_ratio,fixed_substitution_amount","cols=7;rows=102","cols=7;rows=101")</f>
        <v>45489</v>
      </c>
      <c r="B6" s="5" t="s">
        <v>318</v>
      </c>
      <c r="C6" s="5" t="s">
        <v>319</v>
      </c>
      <c r="D6" s="57">
        <v>79</v>
      </c>
      <c r="E6" s="5" t="s">
        <v>320</v>
      </c>
      <c r="F6" s="57">
        <v>10</v>
      </c>
      <c r="G6" s="20">
        <v>129883.58</v>
      </c>
    </row>
    <row r="7" spans="1:11" x14ac:dyDescent="0.25">
      <c r="A7" s="3">
        <v>45489</v>
      </c>
      <c r="B7" s="5" t="s">
        <v>233</v>
      </c>
      <c r="C7" s="5" t="s">
        <v>234</v>
      </c>
      <c r="D7" s="57">
        <v>6</v>
      </c>
      <c r="E7" s="5" t="s">
        <v>16</v>
      </c>
      <c r="F7" s="57">
        <v>10</v>
      </c>
      <c r="G7" s="20">
        <v>6280.57</v>
      </c>
    </row>
    <row r="8" spans="1:11" x14ac:dyDescent="0.25">
      <c r="A8" s="3">
        <v>45489</v>
      </c>
      <c r="B8" s="5" t="s">
        <v>33</v>
      </c>
      <c r="C8" s="5" t="s">
        <v>133</v>
      </c>
      <c r="D8" s="57">
        <v>6</v>
      </c>
      <c r="E8" s="5" t="s">
        <v>16</v>
      </c>
      <c r="F8" s="57">
        <v>10</v>
      </c>
      <c r="G8" s="20">
        <v>23921.19</v>
      </c>
    </row>
    <row r="9" spans="1:11" x14ac:dyDescent="0.25">
      <c r="A9" s="3">
        <v>45489</v>
      </c>
      <c r="B9" s="5" t="s">
        <v>34</v>
      </c>
      <c r="C9" s="5" t="s">
        <v>35</v>
      </c>
      <c r="D9" s="57">
        <v>7</v>
      </c>
      <c r="E9" s="5" t="s">
        <v>16</v>
      </c>
      <c r="F9" s="57">
        <v>10</v>
      </c>
      <c r="G9" s="20">
        <v>11909.03</v>
      </c>
    </row>
    <row r="10" spans="1:11" x14ac:dyDescent="0.25">
      <c r="A10" s="3">
        <v>45489</v>
      </c>
      <c r="B10" s="5" t="s">
        <v>36</v>
      </c>
      <c r="C10" s="5" t="s">
        <v>37</v>
      </c>
      <c r="D10" s="57">
        <v>5</v>
      </c>
      <c r="E10" s="5" t="s">
        <v>16</v>
      </c>
      <c r="F10" s="57">
        <v>10</v>
      </c>
      <c r="G10" s="20">
        <v>8487.2000000000007</v>
      </c>
    </row>
    <row r="11" spans="1:11" x14ac:dyDescent="0.25">
      <c r="A11" s="3">
        <v>45489</v>
      </c>
      <c r="B11" s="5" t="s">
        <v>38</v>
      </c>
      <c r="C11" s="5" t="s">
        <v>39</v>
      </c>
      <c r="D11" s="57">
        <v>3</v>
      </c>
      <c r="E11" s="5" t="s">
        <v>16</v>
      </c>
      <c r="F11" s="57">
        <v>10</v>
      </c>
      <c r="G11" s="20">
        <v>5422.44</v>
      </c>
    </row>
    <row r="12" spans="1:11" x14ac:dyDescent="0.25">
      <c r="A12" s="3">
        <v>45489</v>
      </c>
      <c r="B12" s="5" t="s">
        <v>176</v>
      </c>
      <c r="C12" s="5" t="s">
        <v>122</v>
      </c>
      <c r="D12" s="57">
        <v>7</v>
      </c>
      <c r="E12" s="5" t="s">
        <v>16</v>
      </c>
      <c r="F12" s="57">
        <v>10</v>
      </c>
      <c r="G12" s="20">
        <v>4540.7700000000004</v>
      </c>
    </row>
    <row r="13" spans="1:11" x14ac:dyDescent="0.25">
      <c r="A13" s="3">
        <v>45489</v>
      </c>
      <c r="B13" s="5" t="s">
        <v>40</v>
      </c>
      <c r="C13" s="5" t="s">
        <v>213</v>
      </c>
      <c r="D13" s="57">
        <v>11</v>
      </c>
      <c r="E13" s="5" t="s">
        <v>16</v>
      </c>
      <c r="F13" s="57">
        <v>10</v>
      </c>
      <c r="G13" s="20">
        <v>19093.88</v>
      </c>
    </row>
    <row r="14" spans="1:11" x14ac:dyDescent="0.25">
      <c r="A14" s="3">
        <v>45489</v>
      </c>
      <c r="B14" s="5" t="s">
        <v>123</v>
      </c>
      <c r="C14" s="5" t="s">
        <v>124</v>
      </c>
      <c r="D14" s="57">
        <v>22</v>
      </c>
      <c r="E14" s="5" t="s">
        <v>16</v>
      </c>
      <c r="F14" s="57">
        <v>10</v>
      </c>
      <c r="G14" s="20">
        <v>28493.34</v>
      </c>
    </row>
    <row r="15" spans="1:11" x14ac:dyDescent="0.25">
      <c r="A15" s="3">
        <v>45489</v>
      </c>
      <c r="B15" s="5" t="s">
        <v>41</v>
      </c>
      <c r="C15" s="5" t="s">
        <v>42</v>
      </c>
      <c r="D15" s="57">
        <v>7</v>
      </c>
      <c r="E15" s="5" t="s">
        <v>16</v>
      </c>
      <c r="F15" s="57">
        <v>10</v>
      </c>
      <c r="G15" s="20">
        <v>16515.2</v>
      </c>
    </row>
    <row r="16" spans="1:11" x14ac:dyDescent="0.25">
      <c r="A16" s="3">
        <v>45489</v>
      </c>
      <c r="B16" s="5" t="s">
        <v>43</v>
      </c>
      <c r="C16" s="5" t="s">
        <v>44</v>
      </c>
      <c r="D16" s="57">
        <v>54</v>
      </c>
      <c r="E16" s="5" t="s">
        <v>16</v>
      </c>
      <c r="F16" s="57">
        <v>10</v>
      </c>
      <c r="G16" s="20">
        <v>74898.289999999994</v>
      </c>
    </row>
    <row r="17" spans="1:7" x14ac:dyDescent="0.25">
      <c r="A17" s="3">
        <v>45489</v>
      </c>
      <c r="B17" s="5" t="s">
        <v>125</v>
      </c>
      <c r="C17" s="5" t="s">
        <v>214</v>
      </c>
      <c r="D17" s="57">
        <v>1</v>
      </c>
      <c r="E17" s="5" t="s">
        <v>16</v>
      </c>
      <c r="F17" s="57">
        <v>10</v>
      </c>
      <c r="G17" s="20">
        <v>2348.83</v>
      </c>
    </row>
    <row r="18" spans="1:7" x14ac:dyDescent="0.25">
      <c r="A18" s="3">
        <v>45489</v>
      </c>
      <c r="B18" s="5" t="s">
        <v>286</v>
      </c>
      <c r="C18" s="5" t="s">
        <v>287</v>
      </c>
      <c r="D18" s="57">
        <v>2</v>
      </c>
      <c r="E18" s="5" t="s">
        <v>16</v>
      </c>
      <c r="F18" s="57">
        <v>10</v>
      </c>
      <c r="G18" s="20">
        <v>2584.17</v>
      </c>
    </row>
    <row r="19" spans="1:7" x14ac:dyDescent="0.25">
      <c r="A19" s="3">
        <v>45489</v>
      </c>
      <c r="B19" s="5" t="s">
        <v>45</v>
      </c>
      <c r="C19" s="5" t="s">
        <v>46</v>
      </c>
      <c r="D19" s="57">
        <v>1</v>
      </c>
      <c r="E19" s="5" t="s">
        <v>16</v>
      </c>
      <c r="F19" s="57">
        <v>10</v>
      </c>
      <c r="G19" s="20">
        <v>7739.53</v>
      </c>
    </row>
    <row r="20" spans="1:7" x14ac:dyDescent="0.25">
      <c r="A20" s="3">
        <v>45489</v>
      </c>
      <c r="B20" s="5" t="s">
        <v>47</v>
      </c>
      <c r="C20" s="5" t="s">
        <v>48</v>
      </c>
      <c r="D20" s="57">
        <v>62</v>
      </c>
      <c r="E20" s="5" t="s">
        <v>16</v>
      </c>
      <c r="F20" s="57">
        <v>10</v>
      </c>
      <c r="G20" s="20">
        <v>75195.63</v>
      </c>
    </row>
    <row r="21" spans="1:7" x14ac:dyDescent="0.25">
      <c r="A21" s="3">
        <v>45489</v>
      </c>
      <c r="B21" s="5" t="s">
        <v>250</v>
      </c>
      <c r="C21" s="5" t="s">
        <v>251</v>
      </c>
      <c r="D21" s="57">
        <v>8</v>
      </c>
      <c r="E21" s="5" t="s">
        <v>16</v>
      </c>
      <c r="F21" s="57">
        <v>10</v>
      </c>
      <c r="G21" s="20">
        <v>4520.8</v>
      </c>
    </row>
    <row r="22" spans="1:7" x14ac:dyDescent="0.25">
      <c r="A22" s="3">
        <v>45489</v>
      </c>
      <c r="B22" s="5" t="s">
        <v>49</v>
      </c>
      <c r="C22" s="5" t="s">
        <v>50</v>
      </c>
      <c r="D22" s="57">
        <v>2</v>
      </c>
      <c r="E22" s="5" t="s">
        <v>16</v>
      </c>
      <c r="F22" s="57">
        <v>10</v>
      </c>
      <c r="G22" s="20">
        <v>3281.35</v>
      </c>
    </row>
    <row r="23" spans="1:7" x14ac:dyDescent="0.25">
      <c r="A23" s="3">
        <v>45489</v>
      </c>
      <c r="B23" s="5" t="s">
        <v>51</v>
      </c>
      <c r="C23" s="5" t="s">
        <v>52</v>
      </c>
      <c r="D23" s="57">
        <v>0</v>
      </c>
      <c r="E23" s="5" t="s">
        <v>17</v>
      </c>
      <c r="F23" s="57">
        <v>0</v>
      </c>
      <c r="G23" s="20">
        <v>0</v>
      </c>
    </row>
    <row r="24" spans="1:7" x14ac:dyDescent="0.25">
      <c r="A24" s="3">
        <v>45489</v>
      </c>
      <c r="B24" s="5" t="s">
        <v>266</v>
      </c>
      <c r="C24" s="5" t="s">
        <v>267</v>
      </c>
      <c r="D24" s="57">
        <v>13</v>
      </c>
      <c r="E24" s="5" t="s">
        <v>16</v>
      </c>
      <c r="F24" s="57">
        <v>10</v>
      </c>
      <c r="G24" s="20">
        <v>3198.48</v>
      </c>
    </row>
    <row r="25" spans="1:7" x14ac:dyDescent="0.25">
      <c r="A25" s="3">
        <v>45489</v>
      </c>
      <c r="B25" s="5" t="s">
        <v>288</v>
      </c>
      <c r="C25" s="5" t="s">
        <v>289</v>
      </c>
      <c r="D25" s="57">
        <v>6</v>
      </c>
      <c r="E25" s="5" t="s">
        <v>16</v>
      </c>
      <c r="F25" s="57">
        <v>10</v>
      </c>
      <c r="G25" s="20">
        <v>3170.66</v>
      </c>
    </row>
    <row r="26" spans="1:7" x14ac:dyDescent="0.25">
      <c r="A26" s="3">
        <v>45489</v>
      </c>
      <c r="B26" s="5" t="s">
        <v>53</v>
      </c>
      <c r="C26" s="5" t="s">
        <v>215</v>
      </c>
      <c r="D26" s="57">
        <v>4</v>
      </c>
      <c r="E26" s="5" t="s">
        <v>16</v>
      </c>
      <c r="F26" s="57">
        <v>10</v>
      </c>
      <c r="G26" s="20">
        <v>9004.7999999999993</v>
      </c>
    </row>
    <row r="27" spans="1:7" x14ac:dyDescent="0.25">
      <c r="A27" s="3">
        <v>45489</v>
      </c>
      <c r="B27" s="5" t="s">
        <v>290</v>
      </c>
      <c r="C27" s="5" t="s">
        <v>291</v>
      </c>
      <c r="D27" s="57">
        <v>2</v>
      </c>
      <c r="E27" s="5" t="s">
        <v>16</v>
      </c>
      <c r="F27" s="57">
        <v>10</v>
      </c>
      <c r="G27" s="20">
        <v>3259.1</v>
      </c>
    </row>
    <row r="28" spans="1:7" x14ac:dyDescent="0.25">
      <c r="A28" s="3">
        <v>45489</v>
      </c>
      <c r="B28" s="5" t="s">
        <v>248</v>
      </c>
      <c r="C28" s="5" t="s">
        <v>249</v>
      </c>
      <c r="D28" s="57">
        <v>4</v>
      </c>
      <c r="E28" s="5" t="s">
        <v>16</v>
      </c>
      <c r="F28" s="57">
        <v>10</v>
      </c>
      <c r="G28" s="20">
        <v>6194.14</v>
      </c>
    </row>
    <row r="29" spans="1:7" x14ac:dyDescent="0.25">
      <c r="A29" s="3">
        <v>45489</v>
      </c>
      <c r="B29" s="5" t="s">
        <v>54</v>
      </c>
      <c r="C29" s="5" t="s">
        <v>216</v>
      </c>
      <c r="D29" s="57">
        <v>2</v>
      </c>
      <c r="E29" s="5" t="s">
        <v>16</v>
      </c>
      <c r="F29" s="57">
        <v>10</v>
      </c>
      <c r="G29" s="20">
        <v>4436.3599999999997</v>
      </c>
    </row>
    <row r="30" spans="1:7" x14ac:dyDescent="0.25">
      <c r="A30" s="3">
        <v>45489</v>
      </c>
      <c r="B30" s="5" t="s">
        <v>55</v>
      </c>
      <c r="C30" s="5" t="s">
        <v>56</v>
      </c>
      <c r="D30" s="57">
        <v>52</v>
      </c>
      <c r="E30" s="5" t="s">
        <v>16</v>
      </c>
      <c r="F30" s="57">
        <v>10</v>
      </c>
      <c r="G30" s="20">
        <v>14199.39</v>
      </c>
    </row>
    <row r="31" spans="1:7" x14ac:dyDescent="0.25">
      <c r="A31" s="3">
        <v>45489</v>
      </c>
      <c r="B31" s="5" t="s">
        <v>57</v>
      </c>
      <c r="C31" s="5" t="s">
        <v>198</v>
      </c>
      <c r="D31" s="57">
        <v>6</v>
      </c>
      <c r="E31" s="5" t="s">
        <v>16</v>
      </c>
      <c r="F31" s="57">
        <v>10</v>
      </c>
      <c r="G31" s="20">
        <v>36066.85</v>
      </c>
    </row>
    <row r="32" spans="1:7" x14ac:dyDescent="0.25">
      <c r="A32" s="3">
        <v>45489</v>
      </c>
      <c r="B32" s="5" t="s">
        <v>126</v>
      </c>
      <c r="C32" s="5" t="s">
        <v>217</v>
      </c>
      <c r="D32" s="57">
        <v>13</v>
      </c>
      <c r="E32" s="5" t="s">
        <v>16</v>
      </c>
      <c r="F32" s="57">
        <v>10</v>
      </c>
      <c r="G32" s="20">
        <v>5149.09</v>
      </c>
    </row>
    <row r="33" spans="1:7" x14ac:dyDescent="0.25">
      <c r="A33" s="3">
        <v>45489</v>
      </c>
      <c r="B33" s="5" t="s">
        <v>211</v>
      </c>
      <c r="C33" s="5" t="s">
        <v>212</v>
      </c>
      <c r="D33" s="57">
        <v>3</v>
      </c>
      <c r="E33" s="5" t="s">
        <v>16</v>
      </c>
      <c r="F33" s="57">
        <v>10</v>
      </c>
      <c r="G33" s="20">
        <v>7944.21</v>
      </c>
    </row>
    <row r="34" spans="1:7" x14ac:dyDescent="0.25">
      <c r="A34" s="3">
        <v>45489</v>
      </c>
      <c r="B34" s="5" t="s">
        <v>58</v>
      </c>
      <c r="C34" s="5" t="s">
        <v>199</v>
      </c>
      <c r="D34" s="57">
        <v>54</v>
      </c>
      <c r="E34" s="5" t="s">
        <v>16</v>
      </c>
      <c r="F34" s="57">
        <v>10</v>
      </c>
      <c r="G34" s="20">
        <v>18246.09</v>
      </c>
    </row>
    <row r="35" spans="1:7" x14ac:dyDescent="0.25">
      <c r="A35" s="3">
        <v>45489</v>
      </c>
      <c r="B35" s="5" t="s">
        <v>268</v>
      </c>
      <c r="C35" s="5" t="s">
        <v>269</v>
      </c>
      <c r="D35" s="57">
        <v>5</v>
      </c>
      <c r="E35" s="5" t="s">
        <v>16</v>
      </c>
      <c r="F35" s="57">
        <v>10</v>
      </c>
      <c r="G35" s="20">
        <v>2702.48</v>
      </c>
    </row>
    <row r="36" spans="1:7" x14ac:dyDescent="0.25">
      <c r="A36" s="3">
        <v>45489</v>
      </c>
      <c r="B36" s="5" t="s">
        <v>59</v>
      </c>
      <c r="C36" s="5" t="s">
        <v>60</v>
      </c>
      <c r="D36" s="57">
        <v>26</v>
      </c>
      <c r="E36" s="5" t="s">
        <v>16</v>
      </c>
      <c r="F36" s="57">
        <v>10</v>
      </c>
      <c r="G36" s="20">
        <v>6265.31</v>
      </c>
    </row>
    <row r="37" spans="1:7" x14ac:dyDescent="0.25">
      <c r="A37" s="3">
        <v>45489</v>
      </c>
      <c r="B37" s="5" t="s">
        <v>61</v>
      </c>
      <c r="C37" s="5" t="s">
        <v>62</v>
      </c>
      <c r="D37" s="57">
        <v>1</v>
      </c>
      <c r="E37" s="5" t="s">
        <v>16</v>
      </c>
      <c r="F37" s="57">
        <v>10</v>
      </c>
      <c r="G37" s="20">
        <v>5147.2299999999996</v>
      </c>
    </row>
    <row r="38" spans="1:7" x14ac:dyDescent="0.25">
      <c r="A38" s="3">
        <v>45489</v>
      </c>
      <c r="B38" s="5" t="s">
        <v>63</v>
      </c>
      <c r="C38" s="5" t="s">
        <v>218</v>
      </c>
      <c r="D38" s="57">
        <v>7</v>
      </c>
      <c r="E38" s="5" t="s">
        <v>16</v>
      </c>
      <c r="F38" s="57">
        <v>10</v>
      </c>
      <c r="G38" s="20">
        <v>3570.81</v>
      </c>
    </row>
    <row r="39" spans="1:7" x14ac:dyDescent="0.25">
      <c r="A39" s="3">
        <v>45489</v>
      </c>
      <c r="B39" s="5" t="s">
        <v>292</v>
      </c>
      <c r="C39" s="5" t="s">
        <v>293</v>
      </c>
      <c r="D39" s="57">
        <v>5</v>
      </c>
      <c r="E39" s="5" t="s">
        <v>16</v>
      </c>
      <c r="F39" s="57">
        <v>10</v>
      </c>
      <c r="G39" s="20">
        <v>3744.04</v>
      </c>
    </row>
    <row r="40" spans="1:7" x14ac:dyDescent="0.25">
      <c r="A40" s="3">
        <v>45489</v>
      </c>
      <c r="B40" s="5" t="s">
        <v>235</v>
      </c>
      <c r="C40" s="5" t="s">
        <v>236</v>
      </c>
      <c r="D40" s="57">
        <v>4</v>
      </c>
      <c r="E40" s="5" t="s">
        <v>16</v>
      </c>
      <c r="F40" s="57">
        <v>10</v>
      </c>
      <c r="G40" s="20">
        <v>3645.62</v>
      </c>
    </row>
    <row r="41" spans="1:7" x14ac:dyDescent="0.25">
      <c r="A41" s="3">
        <v>45489</v>
      </c>
      <c r="B41" s="5" t="s">
        <v>64</v>
      </c>
      <c r="C41" s="5" t="s">
        <v>65</v>
      </c>
      <c r="D41" s="57">
        <v>3</v>
      </c>
      <c r="E41" s="5" t="s">
        <v>16</v>
      </c>
      <c r="F41" s="57">
        <v>10</v>
      </c>
      <c r="G41" s="20">
        <v>2296.91</v>
      </c>
    </row>
    <row r="42" spans="1:7" x14ac:dyDescent="0.25">
      <c r="A42" s="3">
        <v>45489</v>
      </c>
      <c r="B42" s="5" t="s">
        <v>163</v>
      </c>
      <c r="C42" s="5" t="s">
        <v>219</v>
      </c>
      <c r="D42" s="57">
        <v>5</v>
      </c>
      <c r="E42" s="5" t="s">
        <v>16</v>
      </c>
      <c r="F42" s="57">
        <v>10</v>
      </c>
      <c r="G42" s="20">
        <v>4067.09</v>
      </c>
    </row>
    <row r="43" spans="1:7" x14ac:dyDescent="0.25">
      <c r="A43" s="3">
        <v>45489</v>
      </c>
      <c r="B43" s="5" t="s">
        <v>66</v>
      </c>
      <c r="C43" s="5" t="s">
        <v>220</v>
      </c>
      <c r="D43" s="57">
        <v>4</v>
      </c>
      <c r="E43" s="5" t="s">
        <v>16</v>
      </c>
      <c r="F43" s="57">
        <v>10</v>
      </c>
      <c r="G43" s="20">
        <v>4155.67</v>
      </c>
    </row>
    <row r="44" spans="1:7" x14ac:dyDescent="0.25">
      <c r="A44" s="3">
        <v>45489</v>
      </c>
      <c r="B44" s="5" t="s">
        <v>159</v>
      </c>
      <c r="C44" s="5" t="s">
        <v>127</v>
      </c>
      <c r="D44" s="57">
        <v>13</v>
      </c>
      <c r="E44" s="5" t="s">
        <v>16</v>
      </c>
      <c r="F44" s="57">
        <v>10</v>
      </c>
      <c r="G44" s="20">
        <v>3267.08</v>
      </c>
    </row>
    <row r="45" spans="1:7" x14ac:dyDescent="0.25">
      <c r="A45" s="3">
        <v>45489</v>
      </c>
      <c r="B45" s="5" t="s">
        <v>270</v>
      </c>
      <c r="C45" s="5" t="s">
        <v>271</v>
      </c>
      <c r="D45" s="57">
        <v>2</v>
      </c>
      <c r="E45" s="5" t="s">
        <v>16</v>
      </c>
      <c r="F45" s="57">
        <v>10</v>
      </c>
      <c r="G45" s="20">
        <v>2912.08</v>
      </c>
    </row>
    <row r="46" spans="1:7" x14ac:dyDescent="0.25">
      <c r="A46" s="3">
        <v>45489</v>
      </c>
      <c r="B46" s="5" t="s">
        <v>67</v>
      </c>
      <c r="C46" s="5" t="s">
        <v>68</v>
      </c>
      <c r="D46" s="57">
        <v>8</v>
      </c>
      <c r="E46" s="5" t="s">
        <v>16</v>
      </c>
      <c r="F46" s="57">
        <v>10</v>
      </c>
      <c r="G46" s="20">
        <v>3733.48</v>
      </c>
    </row>
    <row r="47" spans="1:7" x14ac:dyDescent="0.25">
      <c r="A47" s="3">
        <v>45489</v>
      </c>
      <c r="B47" s="5" t="s">
        <v>237</v>
      </c>
      <c r="C47" s="5" t="s">
        <v>238</v>
      </c>
      <c r="D47" s="57">
        <v>10</v>
      </c>
      <c r="E47" s="5" t="s">
        <v>16</v>
      </c>
      <c r="F47" s="57">
        <v>10</v>
      </c>
      <c r="G47" s="20">
        <v>4246.8100000000004</v>
      </c>
    </row>
    <row r="48" spans="1:7" x14ac:dyDescent="0.25">
      <c r="A48" s="3">
        <v>45489</v>
      </c>
      <c r="B48" s="5" t="s">
        <v>275</v>
      </c>
      <c r="C48" s="5" t="s">
        <v>285</v>
      </c>
      <c r="D48" s="57">
        <v>6</v>
      </c>
      <c r="E48" s="5" t="s">
        <v>16</v>
      </c>
      <c r="F48" s="57">
        <v>10</v>
      </c>
      <c r="G48" s="20">
        <v>3435.1</v>
      </c>
    </row>
    <row r="49" spans="1:7" x14ac:dyDescent="0.25">
      <c r="A49" s="3">
        <v>45489</v>
      </c>
      <c r="B49" s="5" t="s">
        <v>272</v>
      </c>
      <c r="C49" s="5" t="s">
        <v>282</v>
      </c>
      <c r="D49" s="57">
        <v>7</v>
      </c>
      <c r="E49" s="5" t="s">
        <v>16</v>
      </c>
      <c r="F49" s="57">
        <v>10</v>
      </c>
      <c r="G49" s="20">
        <v>2719.67</v>
      </c>
    </row>
    <row r="50" spans="1:7" x14ac:dyDescent="0.25">
      <c r="A50" s="3">
        <v>45489</v>
      </c>
      <c r="B50" s="5" t="s">
        <v>69</v>
      </c>
      <c r="C50" s="5" t="s">
        <v>221</v>
      </c>
      <c r="D50" s="57">
        <v>17</v>
      </c>
      <c r="E50" s="5" t="s">
        <v>16</v>
      </c>
      <c r="F50" s="57">
        <v>10</v>
      </c>
      <c r="G50" s="20">
        <v>8481.64</v>
      </c>
    </row>
    <row r="51" spans="1:7" x14ac:dyDescent="0.25">
      <c r="A51" s="3">
        <v>45489</v>
      </c>
      <c r="B51" s="5" t="s">
        <v>70</v>
      </c>
      <c r="C51" s="5" t="s">
        <v>135</v>
      </c>
      <c r="D51" s="57">
        <v>29</v>
      </c>
      <c r="E51" s="5" t="s">
        <v>16</v>
      </c>
      <c r="F51" s="57">
        <v>10</v>
      </c>
      <c r="G51" s="20">
        <v>38628.629999999997</v>
      </c>
    </row>
    <row r="52" spans="1:7" x14ac:dyDescent="0.25">
      <c r="A52" s="3">
        <v>45489</v>
      </c>
      <c r="B52" s="5" t="s">
        <v>71</v>
      </c>
      <c r="C52" s="5" t="s">
        <v>136</v>
      </c>
      <c r="D52" s="57">
        <v>30</v>
      </c>
      <c r="E52" s="5" t="s">
        <v>16</v>
      </c>
      <c r="F52" s="57">
        <v>10</v>
      </c>
      <c r="G52" s="20">
        <v>39594.800000000003</v>
      </c>
    </row>
    <row r="53" spans="1:7" x14ac:dyDescent="0.25">
      <c r="A53" s="3">
        <v>45489</v>
      </c>
      <c r="B53" s="5" t="s">
        <v>244</v>
      </c>
      <c r="C53" s="5" t="s">
        <v>245</v>
      </c>
      <c r="D53" s="57">
        <v>9</v>
      </c>
      <c r="E53" s="5" t="s">
        <v>16</v>
      </c>
      <c r="F53" s="57">
        <v>10</v>
      </c>
      <c r="G53" s="20">
        <v>13806.51</v>
      </c>
    </row>
    <row r="54" spans="1:7" x14ac:dyDescent="0.25">
      <c r="A54" s="3">
        <v>45489</v>
      </c>
      <c r="B54" s="5" t="s">
        <v>72</v>
      </c>
      <c r="C54" s="5" t="s">
        <v>73</v>
      </c>
      <c r="D54" s="57">
        <v>1</v>
      </c>
      <c r="E54" s="5" t="s">
        <v>16</v>
      </c>
      <c r="F54" s="57">
        <v>10</v>
      </c>
      <c r="G54" s="20">
        <v>3513.98</v>
      </c>
    </row>
    <row r="55" spans="1:7" x14ac:dyDescent="0.25">
      <c r="A55" s="3">
        <v>45489</v>
      </c>
      <c r="B55" s="5" t="s">
        <v>74</v>
      </c>
      <c r="C55" s="5" t="s">
        <v>75</v>
      </c>
      <c r="D55" s="57">
        <v>2</v>
      </c>
      <c r="E55" s="5" t="s">
        <v>16</v>
      </c>
      <c r="F55" s="57">
        <v>10</v>
      </c>
      <c r="G55" s="20">
        <v>1655.79</v>
      </c>
    </row>
    <row r="56" spans="1:7" x14ac:dyDescent="0.25">
      <c r="A56" s="3">
        <v>45489</v>
      </c>
      <c r="B56" s="5" t="s">
        <v>76</v>
      </c>
      <c r="C56" s="5" t="s">
        <v>77</v>
      </c>
      <c r="D56" s="57">
        <v>57</v>
      </c>
      <c r="E56" s="5" t="s">
        <v>16</v>
      </c>
      <c r="F56" s="57">
        <v>10</v>
      </c>
      <c r="G56" s="20">
        <v>14020.03</v>
      </c>
    </row>
    <row r="57" spans="1:7" x14ac:dyDescent="0.25">
      <c r="A57" s="3">
        <v>45489</v>
      </c>
      <c r="B57" s="5" t="s">
        <v>78</v>
      </c>
      <c r="C57" s="5" t="s">
        <v>200</v>
      </c>
      <c r="D57" s="57">
        <v>4</v>
      </c>
      <c r="E57" s="5" t="s">
        <v>16</v>
      </c>
      <c r="F57" s="57">
        <v>10</v>
      </c>
      <c r="G57" s="20">
        <v>18312.27</v>
      </c>
    </row>
    <row r="58" spans="1:7" x14ac:dyDescent="0.25">
      <c r="A58" s="3">
        <v>45489</v>
      </c>
      <c r="B58" s="5" t="s">
        <v>79</v>
      </c>
      <c r="C58" s="5" t="s">
        <v>201</v>
      </c>
      <c r="D58" s="57">
        <v>5</v>
      </c>
      <c r="E58" s="5" t="s">
        <v>16</v>
      </c>
      <c r="F58" s="57">
        <v>10</v>
      </c>
      <c r="G58" s="20">
        <v>15837.64</v>
      </c>
    </row>
    <row r="59" spans="1:7" x14ac:dyDescent="0.25">
      <c r="A59" s="3">
        <v>45489</v>
      </c>
      <c r="B59" s="5" t="s">
        <v>177</v>
      </c>
      <c r="C59" s="5" t="s">
        <v>178</v>
      </c>
      <c r="D59" s="57">
        <v>18</v>
      </c>
      <c r="E59" s="5" t="s">
        <v>16</v>
      </c>
      <c r="F59" s="57">
        <v>10</v>
      </c>
      <c r="G59" s="20">
        <v>4187.33</v>
      </c>
    </row>
    <row r="60" spans="1:7" x14ac:dyDescent="0.25">
      <c r="A60" s="3">
        <v>45489</v>
      </c>
      <c r="B60" s="5" t="s">
        <v>80</v>
      </c>
      <c r="C60" s="5" t="s">
        <v>81</v>
      </c>
      <c r="D60" s="57">
        <v>16</v>
      </c>
      <c r="E60" s="5" t="s">
        <v>16</v>
      </c>
      <c r="F60" s="57">
        <v>10</v>
      </c>
      <c r="G60" s="20">
        <v>3659.32</v>
      </c>
    </row>
    <row r="61" spans="1:7" x14ac:dyDescent="0.25">
      <c r="A61" s="3">
        <v>45489</v>
      </c>
      <c r="B61" s="5" t="s">
        <v>82</v>
      </c>
      <c r="C61" s="5" t="s">
        <v>202</v>
      </c>
      <c r="D61" s="57">
        <v>2</v>
      </c>
      <c r="E61" s="5" t="s">
        <v>16</v>
      </c>
      <c r="F61" s="57">
        <v>10</v>
      </c>
      <c r="G61" s="20">
        <v>12233.66</v>
      </c>
    </row>
    <row r="62" spans="1:7" x14ac:dyDescent="0.25">
      <c r="A62" s="3">
        <v>45489</v>
      </c>
      <c r="B62" s="5" t="s">
        <v>294</v>
      </c>
      <c r="C62" s="5" t="s">
        <v>295</v>
      </c>
      <c r="D62" s="57">
        <v>6</v>
      </c>
      <c r="E62" s="5" t="s">
        <v>16</v>
      </c>
      <c r="F62" s="57">
        <v>10</v>
      </c>
      <c r="G62" s="20">
        <v>18857.11</v>
      </c>
    </row>
    <row r="63" spans="1:7" x14ac:dyDescent="0.25">
      <c r="A63" s="3">
        <v>45489</v>
      </c>
      <c r="B63" s="5" t="s">
        <v>83</v>
      </c>
      <c r="C63" s="5" t="s">
        <v>84</v>
      </c>
      <c r="D63" s="57">
        <v>2</v>
      </c>
      <c r="E63" s="5" t="s">
        <v>16</v>
      </c>
      <c r="F63" s="57">
        <v>10</v>
      </c>
      <c r="G63" s="20">
        <v>15258.84</v>
      </c>
    </row>
    <row r="64" spans="1:7" x14ac:dyDescent="0.25">
      <c r="A64" s="3">
        <v>45489</v>
      </c>
      <c r="B64" s="5" t="s">
        <v>152</v>
      </c>
      <c r="C64" s="5" t="s">
        <v>222</v>
      </c>
      <c r="D64" s="57">
        <v>2</v>
      </c>
      <c r="E64" s="5" t="s">
        <v>16</v>
      </c>
      <c r="F64" s="57">
        <v>10</v>
      </c>
      <c r="G64" s="20">
        <v>4151.3900000000003</v>
      </c>
    </row>
    <row r="65" spans="1:7" x14ac:dyDescent="0.25">
      <c r="A65" s="3">
        <v>45489</v>
      </c>
      <c r="B65" s="5" t="s">
        <v>85</v>
      </c>
      <c r="C65" s="5" t="s">
        <v>86</v>
      </c>
      <c r="D65" s="57">
        <v>4</v>
      </c>
      <c r="E65" s="5" t="s">
        <v>16</v>
      </c>
      <c r="F65" s="57">
        <v>10</v>
      </c>
      <c r="G65" s="20">
        <v>6925.83</v>
      </c>
    </row>
    <row r="66" spans="1:7" x14ac:dyDescent="0.25">
      <c r="A66" s="3">
        <v>45489</v>
      </c>
      <c r="B66" s="5" t="s">
        <v>87</v>
      </c>
      <c r="C66" s="5" t="s">
        <v>203</v>
      </c>
      <c r="D66" s="57">
        <v>7</v>
      </c>
      <c r="E66" s="5" t="s">
        <v>16</v>
      </c>
      <c r="F66" s="57">
        <v>10</v>
      </c>
      <c r="G66" s="20">
        <v>4623.1400000000003</v>
      </c>
    </row>
    <row r="67" spans="1:7" x14ac:dyDescent="0.25">
      <c r="A67" s="3">
        <v>45489</v>
      </c>
      <c r="B67" s="5" t="s">
        <v>296</v>
      </c>
      <c r="C67" s="5" t="s">
        <v>297</v>
      </c>
      <c r="D67" s="57">
        <v>1</v>
      </c>
      <c r="E67" s="5" t="s">
        <v>16</v>
      </c>
      <c r="F67" s="57">
        <v>10</v>
      </c>
      <c r="G67" s="20">
        <v>1805.55</v>
      </c>
    </row>
    <row r="68" spans="1:7" x14ac:dyDescent="0.25">
      <c r="A68" s="3">
        <v>45489</v>
      </c>
      <c r="B68" s="5" t="s">
        <v>88</v>
      </c>
      <c r="C68" s="5" t="s">
        <v>89</v>
      </c>
      <c r="D68" s="57">
        <v>18</v>
      </c>
      <c r="E68" s="5" t="s">
        <v>16</v>
      </c>
      <c r="F68" s="57">
        <v>10</v>
      </c>
      <c r="G68" s="20">
        <v>8390.07</v>
      </c>
    </row>
    <row r="69" spans="1:7" x14ac:dyDescent="0.25">
      <c r="A69" s="3">
        <v>45489</v>
      </c>
      <c r="B69" s="5" t="s">
        <v>90</v>
      </c>
      <c r="C69" s="5" t="s">
        <v>91</v>
      </c>
      <c r="D69" s="57">
        <v>1</v>
      </c>
      <c r="E69" s="5" t="s">
        <v>16</v>
      </c>
      <c r="F69" s="57">
        <v>10</v>
      </c>
      <c r="G69" s="20">
        <v>12560.14</v>
      </c>
    </row>
    <row r="70" spans="1:7" x14ac:dyDescent="0.25">
      <c r="A70" s="3">
        <v>45489</v>
      </c>
      <c r="B70" s="5" t="s">
        <v>252</v>
      </c>
      <c r="C70" s="5" t="s">
        <v>230</v>
      </c>
      <c r="D70" s="57">
        <v>18</v>
      </c>
      <c r="E70" s="5" t="s">
        <v>16</v>
      </c>
      <c r="F70" s="57">
        <v>10</v>
      </c>
      <c r="G70" s="20">
        <v>64038.45</v>
      </c>
    </row>
    <row r="71" spans="1:7" x14ac:dyDescent="0.25">
      <c r="A71" s="3">
        <v>45489</v>
      </c>
      <c r="B71" s="5" t="s">
        <v>92</v>
      </c>
      <c r="C71" s="5" t="s">
        <v>223</v>
      </c>
      <c r="D71" s="57">
        <v>14</v>
      </c>
      <c r="E71" s="5" t="s">
        <v>16</v>
      </c>
      <c r="F71" s="57">
        <v>10</v>
      </c>
      <c r="G71" s="20">
        <v>5074.92</v>
      </c>
    </row>
    <row r="72" spans="1:7" x14ac:dyDescent="0.25">
      <c r="A72" s="3">
        <v>45489</v>
      </c>
      <c r="B72" s="5" t="s">
        <v>170</v>
      </c>
      <c r="C72" s="5" t="s">
        <v>171</v>
      </c>
      <c r="D72" s="57">
        <v>5</v>
      </c>
      <c r="E72" s="5" t="s">
        <v>16</v>
      </c>
      <c r="F72" s="57">
        <v>10</v>
      </c>
      <c r="G72" s="20">
        <v>4330.96</v>
      </c>
    </row>
    <row r="73" spans="1:7" x14ac:dyDescent="0.25">
      <c r="A73" s="3">
        <v>45489</v>
      </c>
      <c r="B73" s="5" t="s">
        <v>185</v>
      </c>
      <c r="C73" s="5" t="s">
        <v>186</v>
      </c>
      <c r="D73" s="57">
        <v>12</v>
      </c>
      <c r="E73" s="5" t="s">
        <v>16</v>
      </c>
      <c r="F73" s="57">
        <v>10</v>
      </c>
      <c r="G73" s="20">
        <v>6297.69</v>
      </c>
    </row>
    <row r="74" spans="1:7" x14ac:dyDescent="0.25">
      <c r="A74" s="3">
        <v>45489</v>
      </c>
      <c r="B74" s="5" t="s">
        <v>93</v>
      </c>
      <c r="C74" s="5" t="s">
        <v>204</v>
      </c>
      <c r="D74" s="57">
        <v>38</v>
      </c>
      <c r="E74" s="5" t="s">
        <v>16</v>
      </c>
      <c r="F74" s="57">
        <v>10</v>
      </c>
      <c r="G74" s="20">
        <v>122910.69</v>
      </c>
    </row>
    <row r="75" spans="1:7" x14ac:dyDescent="0.25">
      <c r="A75" s="3">
        <v>45489</v>
      </c>
      <c r="B75" s="5" t="s">
        <v>94</v>
      </c>
      <c r="C75" s="5" t="s">
        <v>224</v>
      </c>
      <c r="D75" s="57">
        <v>15</v>
      </c>
      <c r="E75" s="5" t="s">
        <v>16</v>
      </c>
      <c r="F75" s="57">
        <v>10</v>
      </c>
      <c r="G75" s="20">
        <v>14286.18</v>
      </c>
    </row>
    <row r="76" spans="1:7" x14ac:dyDescent="0.25">
      <c r="A76" s="3">
        <v>45489</v>
      </c>
      <c r="B76" s="5" t="s">
        <v>95</v>
      </c>
      <c r="C76" s="5" t="s">
        <v>205</v>
      </c>
      <c r="D76" s="57">
        <v>6</v>
      </c>
      <c r="E76" s="5" t="s">
        <v>16</v>
      </c>
      <c r="F76" s="57">
        <v>10</v>
      </c>
      <c r="G76" s="20">
        <v>27710.16</v>
      </c>
    </row>
    <row r="77" spans="1:7" x14ac:dyDescent="0.25">
      <c r="A77" s="3">
        <v>45489</v>
      </c>
      <c r="B77" s="5" t="s">
        <v>96</v>
      </c>
      <c r="C77" s="5" t="s">
        <v>97</v>
      </c>
      <c r="D77" s="57">
        <v>127</v>
      </c>
      <c r="E77" s="5" t="s">
        <v>16</v>
      </c>
      <c r="F77" s="57">
        <v>10</v>
      </c>
      <c r="G77" s="20">
        <v>117052.73</v>
      </c>
    </row>
    <row r="78" spans="1:7" x14ac:dyDescent="0.25">
      <c r="A78" s="3">
        <v>45489</v>
      </c>
      <c r="B78" s="5" t="s">
        <v>149</v>
      </c>
      <c r="C78" s="5" t="s">
        <v>225</v>
      </c>
      <c r="D78" s="57">
        <v>3</v>
      </c>
      <c r="E78" s="5" t="s">
        <v>16</v>
      </c>
      <c r="F78" s="57">
        <v>10</v>
      </c>
      <c r="G78" s="20">
        <v>5994.52</v>
      </c>
    </row>
    <row r="79" spans="1:7" x14ac:dyDescent="0.25">
      <c r="A79" s="3">
        <v>45489</v>
      </c>
      <c r="B79" s="5" t="s">
        <v>246</v>
      </c>
      <c r="C79" s="5" t="s">
        <v>247</v>
      </c>
      <c r="D79" s="57">
        <v>3</v>
      </c>
      <c r="E79" s="5" t="s">
        <v>16</v>
      </c>
      <c r="F79" s="57">
        <v>10</v>
      </c>
      <c r="G79" s="20">
        <v>4069.66</v>
      </c>
    </row>
    <row r="80" spans="1:7" x14ac:dyDescent="0.25">
      <c r="A80" s="3">
        <v>45489</v>
      </c>
      <c r="B80" s="5" t="s">
        <v>278</v>
      </c>
      <c r="C80" s="5" t="s">
        <v>279</v>
      </c>
      <c r="D80" s="57">
        <v>6</v>
      </c>
      <c r="E80" s="5" t="s">
        <v>16</v>
      </c>
      <c r="F80" s="57">
        <v>10</v>
      </c>
      <c r="G80" s="20">
        <v>3289.19</v>
      </c>
    </row>
    <row r="81" spans="1:7" x14ac:dyDescent="0.25">
      <c r="A81" s="3">
        <v>45489</v>
      </c>
      <c r="B81" s="5" t="s">
        <v>98</v>
      </c>
      <c r="C81" s="5" t="s">
        <v>99</v>
      </c>
      <c r="D81" s="57">
        <v>1</v>
      </c>
      <c r="E81" s="5" t="s">
        <v>16</v>
      </c>
      <c r="F81" s="57">
        <v>10</v>
      </c>
      <c r="G81" s="20">
        <v>7417.54</v>
      </c>
    </row>
    <row r="82" spans="1:7" x14ac:dyDescent="0.25">
      <c r="A82" s="3">
        <v>45489</v>
      </c>
      <c r="B82" s="5" t="s">
        <v>239</v>
      </c>
      <c r="C82" s="5" t="s">
        <v>240</v>
      </c>
      <c r="D82" s="57">
        <v>4</v>
      </c>
      <c r="E82" s="5" t="s">
        <v>16</v>
      </c>
      <c r="F82" s="57">
        <v>10</v>
      </c>
      <c r="G82" s="20">
        <v>9599</v>
      </c>
    </row>
    <row r="83" spans="1:7" x14ac:dyDescent="0.25">
      <c r="A83" s="3">
        <v>45489</v>
      </c>
      <c r="B83" s="5" t="s">
        <v>100</v>
      </c>
      <c r="C83" s="5" t="s">
        <v>206</v>
      </c>
      <c r="D83" s="57">
        <v>5</v>
      </c>
      <c r="E83" s="5" t="s">
        <v>16</v>
      </c>
      <c r="F83" s="57">
        <v>10</v>
      </c>
      <c r="G83" s="20">
        <v>4218.28</v>
      </c>
    </row>
    <row r="84" spans="1:7" x14ac:dyDescent="0.25">
      <c r="A84" s="3">
        <v>45489</v>
      </c>
      <c r="B84" s="5" t="s">
        <v>101</v>
      </c>
      <c r="C84" s="5" t="s">
        <v>207</v>
      </c>
      <c r="D84" s="57">
        <v>7</v>
      </c>
      <c r="E84" s="5" t="s">
        <v>16</v>
      </c>
      <c r="F84" s="57">
        <v>10</v>
      </c>
      <c r="G84" s="20">
        <v>5147.3</v>
      </c>
    </row>
    <row r="85" spans="1:7" x14ac:dyDescent="0.25">
      <c r="A85" s="3">
        <v>45489</v>
      </c>
      <c r="B85" s="5" t="s">
        <v>150</v>
      </c>
      <c r="C85" s="5" t="s">
        <v>151</v>
      </c>
      <c r="D85" s="57">
        <v>9</v>
      </c>
      <c r="E85" s="5" t="s">
        <v>16</v>
      </c>
      <c r="F85" s="57">
        <v>10</v>
      </c>
      <c r="G85" s="20">
        <v>9141.01</v>
      </c>
    </row>
    <row r="86" spans="1:7" x14ac:dyDescent="0.25">
      <c r="A86" s="3">
        <v>45489</v>
      </c>
      <c r="B86" s="5" t="s">
        <v>128</v>
      </c>
      <c r="C86" s="5" t="s">
        <v>208</v>
      </c>
      <c r="D86" s="57">
        <v>18</v>
      </c>
      <c r="E86" s="5" t="s">
        <v>16</v>
      </c>
      <c r="F86" s="57">
        <v>10</v>
      </c>
      <c r="G86" s="20">
        <v>21357.7</v>
      </c>
    </row>
    <row r="87" spans="1:7" x14ac:dyDescent="0.25">
      <c r="A87" s="3">
        <v>45489</v>
      </c>
      <c r="B87" s="5" t="s">
        <v>102</v>
      </c>
      <c r="C87" s="5" t="s">
        <v>264</v>
      </c>
      <c r="D87" s="57">
        <v>14</v>
      </c>
      <c r="E87" s="5" t="s">
        <v>16</v>
      </c>
      <c r="F87" s="57">
        <v>10</v>
      </c>
      <c r="G87" s="20">
        <v>6017.42</v>
      </c>
    </row>
    <row r="88" spans="1:7" x14ac:dyDescent="0.25">
      <c r="A88" s="3">
        <v>45489</v>
      </c>
      <c r="B88" s="5" t="s">
        <v>103</v>
      </c>
      <c r="C88" s="5" t="s">
        <v>209</v>
      </c>
      <c r="D88" s="57">
        <v>15</v>
      </c>
      <c r="E88" s="5" t="s">
        <v>16</v>
      </c>
      <c r="F88" s="57">
        <v>10</v>
      </c>
      <c r="G88" s="20">
        <v>21654.44</v>
      </c>
    </row>
    <row r="89" spans="1:7" x14ac:dyDescent="0.25">
      <c r="A89" s="3">
        <v>45489</v>
      </c>
      <c r="B89" s="5" t="s">
        <v>104</v>
      </c>
      <c r="C89" s="5" t="s">
        <v>105</v>
      </c>
      <c r="D89" s="57">
        <v>1</v>
      </c>
      <c r="E89" s="5" t="s">
        <v>16</v>
      </c>
      <c r="F89" s="57">
        <v>10</v>
      </c>
      <c r="G89" s="20">
        <v>7845.01</v>
      </c>
    </row>
    <row r="90" spans="1:7" x14ac:dyDescent="0.25">
      <c r="A90" s="3">
        <v>45489</v>
      </c>
      <c r="B90" s="5" t="s">
        <v>298</v>
      </c>
      <c r="C90" s="5" t="s">
        <v>299</v>
      </c>
      <c r="D90" s="57">
        <v>1</v>
      </c>
      <c r="E90" s="5" t="s">
        <v>16</v>
      </c>
      <c r="F90" s="57">
        <v>10</v>
      </c>
      <c r="G90" s="20">
        <v>3982.09</v>
      </c>
    </row>
    <row r="91" spans="1:7" x14ac:dyDescent="0.25">
      <c r="A91" s="3">
        <v>45489</v>
      </c>
      <c r="B91" s="5" t="s">
        <v>106</v>
      </c>
      <c r="C91" s="5" t="s">
        <v>210</v>
      </c>
      <c r="D91" s="57">
        <v>4</v>
      </c>
      <c r="E91" s="5" t="s">
        <v>16</v>
      </c>
      <c r="F91" s="57">
        <v>10</v>
      </c>
      <c r="G91" s="20">
        <v>4328.25</v>
      </c>
    </row>
    <row r="92" spans="1:7" x14ac:dyDescent="0.25">
      <c r="A92" s="3">
        <v>45489</v>
      </c>
      <c r="B92" s="5" t="s">
        <v>107</v>
      </c>
      <c r="C92" s="5" t="s">
        <v>108</v>
      </c>
      <c r="D92" s="57">
        <v>15</v>
      </c>
      <c r="E92" s="5" t="s">
        <v>16</v>
      </c>
      <c r="F92" s="57">
        <v>10</v>
      </c>
      <c r="G92" s="20">
        <v>8004.75</v>
      </c>
    </row>
    <row r="93" spans="1:7" x14ac:dyDescent="0.25">
      <c r="A93" s="3">
        <v>45489</v>
      </c>
      <c r="B93" s="5" t="s">
        <v>109</v>
      </c>
      <c r="C93" s="5" t="s">
        <v>226</v>
      </c>
      <c r="D93" s="57">
        <v>2</v>
      </c>
      <c r="E93" s="5" t="s">
        <v>16</v>
      </c>
      <c r="F93" s="57">
        <v>10</v>
      </c>
      <c r="G93" s="20">
        <v>8758.2000000000007</v>
      </c>
    </row>
    <row r="94" spans="1:7" x14ac:dyDescent="0.25">
      <c r="A94" s="3">
        <v>45489</v>
      </c>
      <c r="B94" s="5" t="s">
        <v>187</v>
      </c>
      <c r="C94" s="5" t="s">
        <v>188</v>
      </c>
      <c r="D94" s="57">
        <v>2</v>
      </c>
      <c r="E94" s="5" t="s">
        <v>16</v>
      </c>
      <c r="F94" s="57">
        <v>10</v>
      </c>
      <c r="G94" s="20">
        <v>2588.02</v>
      </c>
    </row>
    <row r="95" spans="1:7" x14ac:dyDescent="0.25">
      <c r="A95" s="3">
        <v>45489</v>
      </c>
      <c r="B95" s="5" t="s">
        <v>110</v>
      </c>
      <c r="C95" s="5" t="s">
        <v>111</v>
      </c>
      <c r="D95" s="57">
        <v>16</v>
      </c>
      <c r="E95" s="5" t="s">
        <v>16</v>
      </c>
      <c r="F95" s="57">
        <v>10</v>
      </c>
      <c r="G95" s="20">
        <v>20486.23</v>
      </c>
    </row>
    <row r="96" spans="1:7" x14ac:dyDescent="0.25">
      <c r="A96" s="3">
        <v>45489</v>
      </c>
      <c r="B96" s="5" t="s">
        <v>112</v>
      </c>
      <c r="C96" s="5" t="s">
        <v>227</v>
      </c>
      <c r="D96" s="57">
        <v>25</v>
      </c>
      <c r="E96" s="5" t="s">
        <v>16</v>
      </c>
      <c r="F96" s="57">
        <v>10</v>
      </c>
      <c r="G96" s="20">
        <v>44256.31</v>
      </c>
    </row>
    <row r="97" spans="1:7" x14ac:dyDescent="0.25">
      <c r="A97" s="3">
        <v>45489</v>
      </c>
      <c r="B97" s="5" t="s">
        <v>280</v>
      </c>
      <c r="C97" s="5" t="s">
        <v>281</v>
      </c>
      <c r="D97" s="57">
        <v>6</v>
      </c>
      <c r="E97" s="5" t="s">
        <v>16</v>
      </c>
      <c r="F97" s="57">
        <v>10</v>
      </c>
      <c r="G97" s="20">
        <v>4256.6499999999996</v>
      </c>
    </row>
    <row r="98" spans="1:7" x14ac:dyDescent="0.25">
      <c r="A98" s="3">
        <v>45489</v>
      </c>
      <c r="B98" s="5" t="s">
        <v>300</v>
      </c>
      <c r="C98" s="5" t="s">
        <v>301</v>
      </c>
      <c r="D98" s="57">
        <v>2</v>
      </c>
      <c r="E98" s="5" t="s">
        <v>16</v>
      </c>
      <c r="F98" s="57">
        <v>10</v>
      </c>
      <c r="G98" s="20">
        <v>2187.23</v>
      </c>
    </row>
    <row r="99" spans="1:7" x14ac:dyDescent="0.25">
      <c r="A99" s="3">
        <v>45489</v>
      </c>
      <c r="B99" s="5" t="s">
        <v>113</v>
      </c>
      <c r="C99" s="5" t="s">
        <v>228</v>
      </c>
      <c r="D99" s="57">
        <v>12</v>
      </c>
      <c r="E99" s="5" t="s">
        <v>16</v>
      </c>
      <c r="F99" s="57">
        <v>10</v>
      </c>
      <c r="G99" s="20">
        <v>17275.63</v>
      </c>
    </row>
    <row r="100" spans="1:7" x14ac:dyDescent="0.25">
      <c r="A100" s="3">
        <v>45489</v>
      </c>
      <c r="B100" s="5" t="s">
        <v>114</v>
      </c>
      <c r="C100" s="5" t="s">
        <v>115</v>
      </c>
      <c r="D100" s="57">
        <v>2</v>
      </c>
      <c r="E100" s="5" t="s">
        <v>16</v>
      </c>
      <c r="F100" s="57">
        <v>10</v>
      </c>
      <c r="G100" s="20">
        <v>3956.27</v>
      </c>
    </row>
    <row r="101" spans="1:7" x14ac:dyDescent="0.25">
      <c r="A101" s="3">
        <v>45489</v>
      </c>
      <c r="B101" s="5" t="s">
        <v>116</v>
      </c>
      <c r="C101" s="5" t="s">
        <v>117</v>
      </c>
      <c r="D101" s="57">
        <v>3</v>
      </c>
      <c r="E101" s="5" t="s">
        <v>16</v>
      </c>
      <c r="F101" s="57">
        <v>10</v>
      </c>
      <c r="G101" s="20">
        <v>10456.35</v>
      </c>
    </row>
    <row r="102" spans="1:7" x14ac:dyDescent="0.25">
      <c r="A102" s="3">
        <v>45489</v>
      </c>
      <c r="B102" s="5" t="s">
        <v>118</v>
      </c>
      <c r="C102" s="5" t="s">
        <v>119</v>
      </c>
      <c r="D102" s="57">
        <v>11</v>
      </c>
      <c r="E102" s="5" t="s">
        <v>16</v>
      </c>
      <c r="F102" s="57">
        <v>10</v>
      </c>
      <c r="G102" s="20">
        <v>902.13</v>
      </c>
    </row>
    <row r="103" spans="1:7" x14ac:dyDescent="0.25">
      <c r="A103" s="3">
        <v>45489</v>
      </c>
      <c r="B103" s="5" t="s">
        <v>273</v>
      </c>
      <c r="C103" s="5" t="s">
        <v>274</v>
      </c>
      <c r="D103" s="57">
        <v>33</v>
      </c>
      <c r="E103" s="5" t="s">
        <v>16</v>
      </c>
      <c r="F103" s="57">
        <v>10</v>
      </c>
      <c r="G103" s="20">
        <v>1741.51</v>
      </c>
    </row>
    <row r="104" spans="1:7" x14ac:dyDescent="0.25">
      <c r="A104" s="3">
        <v>45489</v>
      </c>
      <c r="B104" s="5" t="s">
        <v>120</v>
      </c>
      <c r="C104" s="5" t="s">
        <v>121</v>
      </c>
      <c r="D104" s="57">
        <v>3</v>
      </c>
      <c r="E104" s="5" t="s">
        <v>16</v>
      </c>
      <c r="F104" s="57">
        <v>10</v>
      </c>
      <c r="G104" s="20">
        <v>4921.16</v>
      </c>
    </row>
    <row r="105" spans="1:7" x14ac:dyDescent="0.25">
      <c r="A105" s="3">
        <v>45489</v>
      </c>
      <c r="B105" s="5" t="s">
        <v>129</v>
      </c>
      <c r="C105" s="5" t="s">
        <v>130</v>
      </c>
      <c r="D105" s="57">
        <v>7</v>
      </c>
      <c r="E105" s="5" t="s">
        <v>16</v>
      </c>
      <c r="F105" s="57">
        <v>10</v>
      </c>
      <c r="G105" s="20">
        <v>2709.68</v>
      </c>
    </row>
    <row r="106" spans="1:7" x14ac:dyDescent="0.25">
      <c r="A106" s="3">
        <v>45489</v>
      </c>
      <c r="B106" s="5" t="s">
        <v>241</v>
      </c>
      <c r="C106" s="5" t="s">
        <v>242</v>
      </c>
      <c r="D106" s="57">
        <v>2</v>
      </c>
      <c r="E106" s="5" t="s">
        <v>16</v>
      </c>
      <c r="F106" s="57">
        <v>10</v>
      </c>
      <c r="G106" s="20">
        <v>2879.7</v>
      </c>
    </row>
    <row r="107" spans="1:7" x14ac:dyDescent="0.25">
      <c r="G107" s="91"/>
    </row>
    <row r="108" spans="1:7" x14ac:dyDescent="0.25">
      <c r="G108"/>
    </row>
    <row r="109" spans="1:7" x14ac:dyDescent="0.25">
      <c r="G109"/>
    </row>
    <row r="110" spans="1:7" x14ac:dyDescent="0.25">
      <c r="G110"/>
    </row>
  </sheetData>
  <phoneticPr fontId="1" type="noConversion"/>
  <conditionalFormatting sqref="K1:K2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E2"/>
  <sheetViews>
    <sheetView workbookViewId="0">
      <selection activeCell="N13" sqref="N13"/>
    </sheetView>
  </sheetViews>
  <sheetFormatPr defaultRowHeight="12.5" x14ac:dyDescent="0.25"/>
  <sheetData>
    <row r="2" spans="5:5" x14ac:dyDescent="0.25">
      <c r="E2">
        <v>20240716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监控界面</vt:lpstr>
      <vt:lpstr>交易监控表</vt:lpstr>
      <vt:lpstr>中概互联实时折溢价</vt:lpstr>
      <vt:lpstr>纳指ETF折溢价</vt:lpstr>
      <vt:lpstr>广发中概折溢价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Menger Gilmour</cp:lastModifiedBy>
  <dcterms:created xsi:type="dcterms:W3CDTF">2017-09-11T02:46:52Z</dcterms:created>
  <dcterms:modified xsi:type="dcterms:W3CDTF">2024-07-17T01:36:20Z</dcterms:modified>
</cp:coreProperties>
</file>