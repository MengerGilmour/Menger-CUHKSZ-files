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EE0F50B9-FB89-4D6A-8A50-45B46D6B3865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6" l="1"/>
  <c r="G6" i="26"/>
  <c r="G4" i="26"/>
  <c r="G2" i="26"/>
  <c r="G3" i="26"/>
  <c r="C2" i="26"/>
  <c r="B2" i="26"/>
  <c r="A6" i="4"/>
  <c r="D4" i="14"/>
  <c r="D3" i="14"/>
  <c r="D5" i="14"/>
  <c r="E3" i="14"/>
  <c r="A6" i="6"/>
  <c r="E4" i="14"/>
  <c r="E5" i="14"/>
  <c r="D2" i="14" l="1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<sst xmlns="http://schemas.openxmlformats.org/spreadsheetml/2006/main" count="474" uniqueCount="323">
  <si>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</si>
  <si>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</si>
  <si>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</si>
  <si>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</si>
  <si>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</si>
  <si>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</si>
  <si>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</si>
  <si>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</si>
  <si>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</si>
  <si>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</si>
  <si>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</si>
  <si>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</si>
  <si>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</si>
  <si>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</si>
  <si>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</si>
  <si>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</si>
  <si>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</si>
  <si>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</si>
  <si>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</si>
  <si>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</si>
  <si>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</si>
  <si>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</si>
  <si>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</si>
  <si>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</si>
  <si>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</si>
  <si>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</si>
  <si>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</si>
  <si>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</si>
  <si>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</si>
  <si>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</si>
  <si>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</si>
  <si>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</si>
  <si>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</si>
  <si>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</si>
  <si>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</si>
  <si>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</si>
  <si>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</si>
  <si>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</si>
  <si>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</si>
  <si>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</si>
  <si>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</si>
  <si>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</si>
  <si>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</si>
  <si>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</si>
  <si>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</si>
  <si>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</si>
  <si>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</si>
  <si>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</si>
  <si>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</si>
  <si>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</si>
  <si>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</si>
  <si>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</si>
  <si>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</si>
  <si>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</si>
  <si>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</si>
  <si>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</si>
  <si>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</si>
  <si>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</si>
  <si>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</si>
  <si>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</si>
  <si>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</si>
  <si>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</si>
  <si>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</si>
  <si>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</si>
  <si>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</si>
  <si>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</si>
  <si>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</si>
  <si>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</si>
  <si>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</si>
  <si>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</si>
  <si>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</si>
  <si>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</si>
  <si>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</si>
  <si>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</si>
  <si>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</si>
  <si>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</si>
  <si>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</si>
  <si>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</si>
  <si>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</si>
  <si>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</si>
  <si>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</si>
  <si>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</si>
  <si>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</si>
  <si>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</si>
  <si>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</si>
  <si>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</si>
  <si>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</si>
  <si>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</si>
  <si>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</si>
  <si>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</si>
  <si>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</si>
  <si>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</si>
  <si>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</si>
  <si>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</si>
  <si>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</si>
  <si>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</si>
  <si>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</si>
  <si>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</si>
  <si>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</si>
  <si>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</si>
  <si>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</si>
  <si>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</si>
  <si>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</si>
  <si>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</si>
  <si>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</si>
  <si>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</si>
  <si>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</si>
  <si>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</si>
  <si>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</si>
  <si>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</si>
  <si>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</si>
  <si>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</si>
  <si>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</si>
  <si>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</si>
  <si>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</si>
  <si>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</si>
  <si>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</si>
  <si>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</si>
  <si>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</si>
  <si>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</si>
  <si>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</si>
  <si>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</si>
  <si>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</si>
  <si>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</si>
  <si>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</si>
  <si>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</si>
  <si>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</si>
  <si>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</si>
  <si>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</si>
  <si>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</si>
  <si>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</si>
  <si>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</si>
  <si>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</si>
  <si>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</si>
  <si>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</si>
  <si>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</si>
  <si>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</si>
  <si>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</si>
  <si>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</si>
  <si>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</si>
  <si>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</si>
  <si>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</si>
  <si>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</si>
  <si>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</si>
  <si>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</si>
  <si>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</si>
  <si>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</si>
  <si>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</si>
  <si>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</si>
  <si>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</si>
  <si>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</si>
  <si>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</si>
  <si>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</si>
  <si>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</si>
  <si>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</si>
  <si>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</si>
  <si>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</si>
  <si>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</si>
  <si>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</si>
  <si>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</si>
  <si>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</si>
  <si>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</si>
  <si>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</si>
  <si>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</si>
  <si>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</si>
  <si>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</si>
  <si>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</si>
  <si>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</si>
  <si>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</si>
  <si>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</si>
  <si>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</si>
  <si>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</si>
  <si>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</si>
  <si>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</si>
  <si>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</si>
  <si>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</si>
  <si>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</si>
  <si>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</si>
  <si>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</si>
  <si>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</si>
  <si>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</si>
  <si>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</si>
  <si>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</si>
  <si>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</si>
  <si>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</si>
  <si>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</si>
  <si>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</si>
  <si>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</si>
  <si>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</si>
  <si>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</si>
  <si>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</si>
  <si>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</si>
  <si>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</si>
  <si>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</si>
  <si>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</si>
  <si>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</si>
  <si>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</si>
  <si>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</si>
  <si>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</si>
  <si>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</si>
  <si>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</si>
  <si>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</si>
  <si>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</si>
  <si>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</si>
  <si>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</si>
  <si>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</si>
  <si>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</si>
  <si>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</si>
  <si>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</si>
  <si>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</si>
  <si>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</si>
  <si>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</si>
  <si>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</si>
  <si>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</si>
  <si>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</si>
  <si>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</si>
  <si>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</si>
  <si>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</si>
  <si>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</si>
  <si>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</si>
  <si>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</si>
  <si>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</si>
  <si>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</si>
  <si>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</si>
  <si>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</si>
  <si>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</si>
  <si>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</si>
  <si>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</si>
  <si>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</si>
  <si>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</si>
  <si>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</si>
  <si>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</si>
  <si>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</si>
  <si>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</si>
  <si>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</si>
  <si>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</si>
  <si>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</si>
  <si>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</si>
  <si>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</si>
  <si>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</si>
  <si>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</si>
  <si>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</si>
  <si>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</si>
  <si>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</si>
  <si>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</si>
  <si>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</si>
  <si>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</si>
  <si>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</si>
  <si>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</si>
  <si>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</si>
  <si>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</si>
  <si>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</si>
  <si>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</si>
  <si>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</si>
  <si>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</si>
  <si>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</si>
  <si>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</si>
  <si>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</si>
  <si>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</si>
  <si>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</si>
  <si>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</si>
  <si>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</si>
  <si>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</si>
  <si>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</si>
  <si>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</si>
  <si>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</si>
  <si>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</si>
  <si>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</si>
  <si>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</si>
  <si>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</si>
  <si>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</si>
  <si>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</si>
  <si>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</si>
  <si>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</si>
  <si>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</si>
  <si>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</si>
  <si>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</si>
  <si>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</si>
  <si>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</si>
  <si>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</si>
  <si>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</si>
  <si>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</si>
  <si>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</si>
  <si>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</si>
  <si>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</si>
  <si>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</si>
  <si>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</si>
  <si>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</si>
  <si>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</si>
  <si>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</si>
  <si>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</si>
  <si>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</si>
  <si>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</si>
  <si>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</si>
  <si>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</si>
  <si>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</si>
  <si>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</si>
  <si>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</si>
  <si>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</si>
  <si>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</si>
  <si>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</si>
  <si>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</si>
  <si>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</si>
  <si>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</si>
  <si>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</si>
  <si>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</si>
  <si>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</si>
  <si>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</si>
  <si>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</si>
  <si>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</si>
  <si>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</si>
  <si>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</si>
  <si>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</si>
  <si>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</si>
  <si>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</si>
  <si>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</si>
  <si>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</si>
  <si>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</si>
  <si>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</si>
  <si>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</si>
  <si>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</si>
  <si>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</si>
  <si>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2024-07-17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</si>
</sst>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</numFmts>
  <fonts count="17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</v>
        <stp/>
        <stp>HKDCNY.IB</stp>
        <stp>Rt_Price</stp>
        <tr r="C2" s="26"/>
      </tp>
      <tp>
        <v>0</v>
        <stp/>
        <stp>USDCNY.IB</stp>
        <stp>Rt_Price</stp>
        <tr r="B2" s="26"/>
      </tp>
      <tp>
        <v>1.534</v>
        <stp/>
        <stp>513100.SH</stp>
        <stp>Ask_Price1</stp>
        <tr r="B7" s="26"/>
      </tp>
      <tp>
        <v>1.0589999999999999</v>
        <stp/>
        <stp>513050.SH</stp>
        <stp>Ask_Price1</stp>
        <tr r="B5" s="26"/>
      </tp>
      <tp>
        <v>1.5330000000000001</v>
        <stp/>
        <stp>513100.SH</stp>
        <stp>Bid_Price1</stp>
        <tr r="B8" s="26"/>
      </tp>
      <tp>
        <v>1.0580000000000001</v>
        <stp/>
        <stp>513050.SH</stp>
        <stp>Bid_Price1</stp>
        <tr r="B6" s="26"/>
      </tp>
      <tp>
        <v>0</v>
        <stp/>
        <stp>3690.HK</stp>
        <stp>PctChg</stp>
        <tr r="G3" s="26"/>
      </tp>
      <tp>
        <v>-0.79</v>
        <stp/>
        <stp>0700.HK</stp>
        <stp>PctChg</stp>
        <tr r="G2" s="26"/>
      </tp>
      <tp>
        <v>0.86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0</v>
      </c>
      <c r="C2" s="39">
        <f>RTD("wdf.rtq",,"HKDCNY.IB","Rt_Price")</f>
        <v>0</v>
      </c>
      <c r="F2" s="34" t="s">
        <v>155</v>
      </c>
      <c r="G2" s="82">
        <f>RTD("wdf.rtq",,"0700.HK","PctChg")/100-0</f>
        <v>-7.9000000000000008E-3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0</v>
      </c>
      <c r="H3" s="35" t="e">
        <f>B5*H2/C2*J3/中概互联实时折溢价!#REF!</f>
        <v>#DIV/0!</v>
      </c>
      <c r="I3" s="35" t="e">
        <f t="shared" ref="I3:I9" si="0">H3*2</f>
        <v>#DIV/0!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8.6E-3</v>
      </c>
      <c r="H4" s="35" t="e">
        <f>B5*H2/C2*J4/中概互联实时折溢价!#REF!</f>
        <v>#DIV/0!</v>
      </c>
      <c r="I4" s="35" t="e">
        <f t="shared" si="0"/>
        <v>#DIV/0!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1.0589999999999999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#DIV/0!</v>
      </c>
      <c r="I5" s="35" t="e">
        <f t="shared" si="0"/>
        <v>#DIV/0!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1.0580000000000001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#DIV/0!</v>
      </c>
      <c r="I6" s="35" t="e">
        <f t="shared" si="0"/>
        <v>#DIV/0!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1.534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#DIV/0!</v>
      </c>
      <c r="I7" s="35" t="e">
        <f t="shared" si="0"/>
        <v>#DIV/0!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1.5330000000000001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#DIV/0!</v>
      </c>
      <c r="I8" s="35" t="e">
        <f t="shared" si="0"/>
        <v>#DIV/0!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#DIV/0!</v>
      </c>
      <c r="I9" s="35" t="e">
        <f t="shared" si="0"/>
        <v>#DIV/0!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0</v>
      </c>
      <c r="E2" s="29">
        <f>监控界面!C2+0</f>
        <v>0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40"/>
  <sheetViews>
    <sheetView tabSelected="1" topLeftCell="A2" zoomScaleNormal="100" workbookViewId="0">
      <selection activeCell="N9" sqref="N9"/>
    </sheetView>
  </sheetViews>
  <sheetFormatPr defaultColWidth="9.1796875" defaultRowHeight="13" x14ac:dyDescent="0.25"/>
  <cols>
    <col min="1" max="1" width="16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6328125" style="49" customWidth="1"/>
    <col min="8" max="8" width="9" style="49" customWidth="1"/>
    <col min="9" max="9" width="11.453125" style="59" customWidth="1"/>
    <col min="10" max="10" width="12.54296875" style="49" customWidth="1"/>
    <col min="11" max="11" width="15.7265625" style="49" customWidth="1"/>
    <col min="12" max="12" width="18.7265625" style="49" bestFit="1" customWidth="1"/>
    <col min="13" max="16" width="9.1796875" style="49"/>
    <col min="17" max="17" width="12.26953125" style="49" customWidth="1"/>
    <col min="18" max="16384" width="9.1796875" style="49"/>
  </cols>
  <sheetData>
    <row r="1" spans="1:9" ht="27.75" customHeight="1" x14ac:dyDescent="0.25">
      <c r="A1" s="71" t="s">
        <v>0</v>
      </c>
      <c r="B1" s="72" t="s">
        <v>314</v>
      </c>
      <c r="C1" s="73"/>
      <c r="I1" s="49"/>
    </row>
    <row r="2" spans="1:9" x14ac:dyDescent="0.25">
      <c r="A2" s="71" t="s">
        <v>229</v>
      </c>
      <c r="B2" s="51" t="s">
        <v>322</v>
      </c>
      <c r="C2" s="50"/>
      <c r="D2" s="93">
        <v>45488</v>
      </c>
      <c r="E2" s="49">
        <v>20240716</v>
      </c>
      <c r="F2" s="93">
        <v>45485</v>
      </c>
      <c r="I2" s="49"/>
    </row>
    <row r="3" spans="1:9" x14ac:dyDescent="0.25">
      <c r="A3" s="71" t="s">
        <v>3</v>
      </c>
      <c r="B3" s="51" t="s">
        <v>309</v>
      </c>
      <c r="I3" s="49"/>
    </row>
    <row r="4" spans="1:9" x14ac:dyDescent="0.25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</row>
    <row r="5" spans="1:9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/>
    </row>
    <row r="6" spans="1:9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45490</v>
      </c>
      <c r="B6" s="52" t="s">
        <v>317</v>
      </c>
      <c r="C6" s="52" t="s">
        <v>321</v>
      </c>
      <c r="D6" s="58">
        <v>942</v>
      </c>
      <c r="E6" s="52" t="s">
        <v>320</v>
      </c>
      <c r="F6" s="58">
        <v>10</v>
      </c>
      <c r="G6" s="53">
        <v>2778.95</v>
      </c>
      <c r="H6" s="55"/>
      <c r="I6" s="49"/>
    </row>
    <row r="7" spans="1:9" x14ac:dyDescent="0.25">
      <c r="A7" s="54">
        <v>45490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326445.33</v>
      </c>
      <c r="H7" s="55"/>
      <c r="I7" s="49"/>
    </row>
    <row r="8" spans="1:9" x14ac:dyDescent="0.25">
      <c r="A8" s="54">
        <v>45490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1794.69</v>
      </c>
      <c r="H8" s="55"/>
      <c r="I8" s="49"/>
    </row>
    <row r="9" spans="1:9" x14ac:dyDescent="0.25">
      <c r="A9" s="61">
        <v>45490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2712.59</v>
      </c>
      <c r="H9" s="55"/>
      <c r="I9" s="49"/>
    </row>
    <row r="10" spans="1:9" x14ac:dyDescent="0.25">
      <c r="A10" s="61">
        <v>45490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19404.060000000001</v>
      </c>
      <c r="H10" s="55"/>
      <c r="I10" s="49"/>
    </row>
    <row r="11" spans="1:9" x14ac:dyDescent="0.25">
      <c r="A11" s="61">
        <v>45490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793.23</v>
      </c>
      <c r="H11" s="55"/>
      <c r="I11" s="49"/>
    </row>
    <row r="12" spans="1:9" x14ac:dyDescent="0.25">
      <c r="A12" s="61">
        <v>45490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38530.629999999997</v>
      </c>
      <c r="H12" s="55"/>
      <c r="I12" s="49"/>
    </row>
    <row r="13" spans="1:9" x14ac:dyDescent="0.25">
      <c r="A13" s="61">
        <v>45490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929.08</v>
      </c>
      <c r="H13" s="55"/>
      <c r="I13" s="49"/>
    </row>
    <row r="14" spans="1:9" x14ac:dyDescent="0.25">
      <c r="A14" s="61">
        <v>45490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99205.17</v>
      </c>
      <c r="H14" s="55"/>
      <c r="I14" s="49"/>
    </row>
    <row r="15" spans="1:9" x14ac:dyDescent="0.25">
      <c r="A15" s="61">
        <v>45490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2851.42</v>
      </c>
      <c r="H15" s="55"/>
      <c r="I15" s="49"/>
    </row>
    <row r="16" spans="1:9" x14ac:dyDescent="0.25">
      <c r="A16" s="61">
        <v>45490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1484.16</v>
      </c>
      <c r="H16" s="55"/>
      <c r="I16" s="49"/>
    </row>
    <row r="17" spans="1:9" x14ac:dyDescent="0.25">
      <c r="A17" s="61">
        <v>45490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3680.58</v>
      </c>
      <c r="H17" s="55"/>
      <c r="I17" s="49"/>
    </row>
    <row r="18" spans="1:9" x14ac:dyDescent="0.25">
      <c r="A18" s="61">
        <v>45490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36057.360000000001</v>
      </c>
      <c r="H18" s="55"/>
      <c r="I18" s="49"/>
    </row>
    <row r="19" spans="1:9" x14ac:dyDescent="0.25">
      <c r="A19" s="61">
        <v>45490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4814.16</v>
      </c>
      <c r="H19" s="55"/>
      <c r="I19" s="49"/>
    </row>
    <row r="20" spans="1:9" x14ac:dyDescent="0.25">
      <c r="A20" s="61">
        <v>45490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404.06</v>
      </c>
      <c r="H20" s="55"/>
      <c r="I20" s="49"/>
    </row>
    <row r="21" spans="1:9" x14ac:dyDescent="0.25">
      <c r="A21" s="61">
        <v>45490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35524.239999999998</v>
      </c>
      <c r="H21" s="55"/>
      <c r="I21" s="49"/>
    </row>
    <row r="22" spans="1:9" x14ac:dyDescent="0.25">
      <c r="A22" s="61">
        <v>45490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340.89</v>
      </c>
      <c r="H22" s="55"/>
      <c r="I22" s="49"/>
    </row>
    <row r="23" spans="1:9" x14ac:dyDescent="0.25">
      <c r="A23" s="61">
        <v>45490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35473.74</v>
      </c>
      <c r="H23" s="55"/>
      <c r="I23" s="49"/>
    </row>
    <row r="24" spans="1:9" x14ac:dyDescent="0.25">
      <c r="A24" s="61">
        <v>45490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217020.91</v>
      </c>
      <c r="H24" s="55"/>
      <c r="I24" s="49"/>
    </row>
    <row r="25" spans="1:9" x14ac:dyDescent="0.25">
      <c r="A25" s="61">
        <v>45490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38114.36</v>
      </c>
      <c r="H25" s="55"/>
      <c r="I25" s="49"/>
    </row>
    <row r="26" spans="1:9" x14ac:dyDescent="0.25">
      <c r="A26" s="3">
        <v>45490</v>
      </c>
      <c r="B26" s="5" t="s">
        <v>20</v>
      </c>
      <c r="C26" s="5" t="s">
        <v>21</v>
      </c>
      <c r="D26" s="57">
        <v>11</v>
      </c>
      <c r="E26" s="5" t="s">
        <v>16</v>
      </c>
      <c r="F26" s="57">
        <v>10</v>
      </c>
      <c r="G26" s="20">
        <v>2146.2399999999998</v>
      </c>
      <c r="H26" s="55"/>
      <c r="I26" s="49"/>
    </row>
    <row r="27" spans="1:9" x14ac:dyDescent="0.25">
      <c r="A27" s="3">
        <v>45490</v>
      </c>
      <c r="B27" s="5" t="s">
        <v>174</v>
      </c>
      <c r="C27" s="5" t="s">
        <v>194</v>
      </c>
      <c r="D27" s="57">
        <v>108</v>
      </c>
      <c r="E27" s="5" t="s">
        <v>16</v>
      </c>
      <c r="F27" s="57">
        <v>10</v>
      </c>
      <c r="G27" s="20">
        <v>11360.16</v>
      </c>
      <c r="H27" s="55"/>
      <c r="I27" s="49"/>
    </row>
    <row r="28" spans="1:9" x14ac:dyDescent="0.25">
      <c r="A28" s="3">
        <v>45490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8199.93</v>
      </c>
      <c r="H28" s="55"/>
      <c r="I28" s="49"/>
    </row>
    <row r="29" spans="1:9" x14ac:dyDescent="0.25">
      <c r="A29" s="3">
        <v>45490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1243.27</v>
      </c>
      <c r="H29" s="55"/>
      <c r="I29" s="49"/>
    </row>
    <row r="30" spans="1:9" x14ac:dyDescent="0.25">
      <c r="A30" s="3">
        <v>45490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698.3</v>
      </c>
      <c r="H30" s="55"/>
      <c r="I30" s="49"/>
    </row>
    <row r="31" spans="1:9" x14ac:dyDescent="0.25">
      <c r="A31" s="3">
        <v>45490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120053.87</v>
      </c>
      <c r="H31" s="55"/>
      <c r="I31" s="49"/>
    </row>
    <row r="32" spans="1:9" x14ac:dyDescent="0.25">
      <c r="A32" s="3">
        <v>45490</v>
      </c>
      <c r="B32" s="5" t="s">
        <v>192</v>
      </c>
      <c r="C32" s="5" t="s">
        <v>284</v>
      </c>
      <c r="D32" s="57">
        <v>23</v>
      </c>
      <c r="E32" s="5" t="s">
        <v>16</v>
      </c>
      <c r="F32" s="57">
        <v>10</v>
      </c>
      <c r="G32" s="20">
        <v>3242.67</v>
      </c>
      <c r="H32" s="55"/>
      <c r="I32" s="49"/>
    </row>
    <row r="33" spans="1:9" x14ac:dyDescent="0.25">
      <c r="A33" s="3">
        <v>45490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5428.7</v>
      </c>
      <c r="H33" s="55"/>
      <c r="I33" s="49"/>
    </row>
    <row r="34" spans="1:9" x14ac:dyDescent="0.25">
      <c r="A34" s="3">
        <v>45490</v>
      </c>
      <c r="B34" s="5" t="s">
        <v>153</v>
      </c>
      <c r="C34" s="5" t="s">
        <v>154</v>
      </c>
      <c r="D34" s="57">
        <v>100</v>
      </c>
      <c r="E34" s="5" t="s">
        <v>16</v>
      </c>
      <c r="F34" s="57">
        <v>10</v>
      </c>
      <c r="G34" s="20">
        <v>10597.11</v>
      </c>
      <c r="H34" s="55"/>
      <c r="I34" s="49"/>
    </row>
    <row r="35" spans="1:9" x14ac:dyDescent="0.25">
      <c r="A35" s="3">
        <v>45490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5467.14</v>
      </c>
      <c r="H35" s="55"/>
      <c r="I35" s="49"/>
    </row>
    <row r="36" spans="1:9" x14ac:dyDescent="0.25">
      <c r="A36" s="3">
        <v>45490</v>
      </c>
      <c r="B36" s="5" t="s">
        <v>26</v>
      </c>
      <c r="C36" s="5" t="s">
        <v>27</v>
      </c>
      <c r="D36" s="57">
        <v>14</v>
      </c>
      <c r="E36" s="5" t="s">
        <v>17</v>
      </c>
      <c r="F36" s="57">
        <v>0</v>
      </c>
      <c r="G36" s="20">
        <v>806.69</v>
      </c>
      <c r="H36" s="55"/>
      <c r="I36" s="49"/>
    </row>
    <row r="37" spans="1:9" x14ac:dyDescent="0.25">
      <c r="A37" s="3">
        <v>45490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8848.73</v>
      </c>
      <c r="H37" s="55"/>
      <c r="I37" s="49"/>
    </row>
    <row r="38" spans="1:9" x14ac:dyDescent="0.25">
      <c r="A38" s="3">
        <v>45490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1219.45</v>
      </c>
      <c r="H38" s="55"/>
      <c r="I38" s="49"/>
    </row>
    <row r="39" spans="1:9" x14ac:dyDescent="0.25">
      <c r="A39"/>
      <c r="B39"/>
      <c r="C39"/>
      <c r="D39"/>
      <c r="E39"/>
      <c r="F39"/>
      <c r="G39" s="91"/>
      <c r="H39" s="56"/>
      <c r="I39" s="56"/>
    </row>
    <row r="40" spans="1:9" x14ac:dyDescent="0.25">
      <c r="A40"/>
      <c r="B40"/>
      <c r="C40"/>
      <c r="D40"/>
      <c r="E40"/>
      <c r="F40"/>
      <c r="G40"/>
      <c r="H40" s="70"/>
      <c r="I40" s="70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I19" sqref="I19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315</v>
      </c>
      <c r="C2" s="3"/>
      <c r="E2" s="4"/>
      <c r="F2" s="5" t="s">
        <v>316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57">
        <v>79</v>
      </c>
      <c r="E6" s="5" t="s">
        <v>320</v>
      </c>
      <c r="F6" s="57">
        <v>10</v>
      </c>
      <c r="G6" s="20">
        <v>129883.58</v>
      </c>
    </row>
    <row r="7" spans="1:11" x14ac:dyDescent="0.25">
      <c r="A7" s="3">
        <v>45489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6280.57</v>
      </c>
    </row>
    <row r="8" spans="1:11" x14ac:dyDescent="0.25">
      <c r="A8" s="3">
        <v>45489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23921.19</v>
      </c>
    </row>
    <row r="9" spans="1:11" x14ac:dyDescent="0.25">
      <c r="A9" s="3">
        <v>45489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11909.03</v>
      </c>
    </row>
    <row r="10" spans="1:11" x14ac:dyDescent="0.25">
      <c r="A10" s="3">
        <v>45489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8487.2000000000007</v>
      </c>
    </row>
    <row r="11" spans="1:11" x14ac:dyDescent="0.25">
      <c r="A11" s="3">
        <v>45489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5422.44</v>
      </c>
    </row>
    <row r="12" spans="1:11" x14ac:dyDescent="0.25">
      <c r="A12" s="3">
        <v>45489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4540.7700000000004</v>
      </c>
    </row>
    <row r="13" spans="1:11" x14ac:dyDescent="0.25">
      <c r="A13" s="3">
        <v>45489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19093.88</v>
      </c>
    </row>
    <row r="14" spans="1:11" x14ac:dyDescent="0.25">
      <c r="A14" s="3">
        <v>45489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28493.34</v>
      </c>
    </row>
    <row r="15" spans="1:11" x14ac:dyDescent="0.25">
      <c r="A15" s="3">
        <v>45489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16515.2</v>
      </c>
    </row>
    <row r="16" spans="1:11" x14ac:dyDescent="0.25">
      <c r="A16" s="3">
        <v>45489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74898.289999999994</v>
      </c>
    </row>
    <row r="17" spans="1:7" x14ac:dyDescent="0.25">
      <c r="A17" s="3">
        <v>45489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2348.83</v>
      </c>
    </row>
    <row r="18" spans="1:7" x14ac:dyDescent="0.25">
      <c r="A18" s="3">
        <v>45489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2584.17</v>
      </c>
    </row>
    <row r="19" spans="1:7" x14ac:dyDescent="0.25">
      <c r="A19" s="3">
        <v>45489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7739.53</v>
      </c>
    </row>
    <row r="20" spans="1:7" x14ac:dyDescent="0.25">
      <c r="A20" s="3">
        <v>45489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75195.63</v>
      </c>
    </row>
    <row r="21" spans="1:7" x14ac:dyDescent="0.25">
      <c r="A21" s="3">
        <v>45489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4520.8</v>
      </c>
    </row>
    <row r="22" spans="1:7" x14ac:dyDescent="0.25">
      <c r="A22" s="3">
        <v>45489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3281.35</v>
      </c>
    </row>
    <row r="23" spans="1:7" x14ac:dyDescent="0.25">
      <c r="A23" s="3">
        <v>45489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</row>
    <row r="24" spans="1:7" x14ac:dyDescent="0.25">
      <c r="A24" s="3">
        <v>45489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3198.48</v>
      </c>
    </row>
    <row r="25" spans="1:7" x14ac:dyDescent="0.25">
      <c r="A25" s="3">
        <v>45489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3170.66</v>
      </c>
    </row>
    <row r="26" spans="1:7" x14ac:dyDescent="0.25">
      <c r="A26" s="3">
        <v>45489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9004.7999999999993</v>
      </c>
    </row>
    <row r="27" spans="1:7" x14ac:dyDescent="0.25">
      <c r="A27" s="3">
        <v>45489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3259.1</v>
      </c>
    </row>
    <row r="28" spans="1:7" x14ac:dyDescent="0.25">
      <c r="A28" s="3">
        <v>45489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6194.14</v>
      </c>
    </row>
    <row r="29" spans="1:7" x14ac:dyDescent="0.25">
      <c r="A29" s="3">
        <v>45489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4436.3599999999997</v>
      </c>
    </row>
    <row r="30" spans="1:7" x14ac:dyDescent="0.25">
      <c r="A30" s="3">
        <v>45489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14199.39</v>
      </c>
    </row>
    <row r="31" spans="1:7" x14ac:dyDescent="0.25">
      <c r="A31" s="3">
        <v>45489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36066.85</v>
      </c>
    </row>
    <row r="32" spans="1:7" x14ac:dyDescent="0.25">
      <c r="A32" s="3">
        <v>45489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5149.09</v>
      </c>
    </row>
    <row r="33" spans="1:7" x14ac:dyDescent="0.25">
      <c r="A33" s="3">
        <v>45489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7944.21</v>
      </c>
    </row>
    <row r="34" spans="1:7" x14ac:dyDescent="0.25">
      <c r="A34" s="3">
        <v>45489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18246.09</v>
      </c>
    </row>
    <row r="35" spans="1:7" x14ac:dyDescent="0.25">
      <c r="A35" s="3">
        <v>45489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2702.48</v>
      </c>
    </row>
    <row r="36" spans="1:7" x14ac:dyDescent="0.25">
      <c r="A36" s="3">
        <v>45489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6265.31</v>
      </c>
    </row>
    <row r="37" spans="1:7" x14ac:dyDescent="0.25">
      <c r="A37" s="3">
        <v>45489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5147.2299999999996</v>
      </c>
    </row>
    <row r="38" spans="1:7" x14ac:dyDescent="0.25">
      <c r="A38" s="3">
        <v>45489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3570.81</v>
      </c>
    </row>
    <row r="39" spans="1:7" x14ac:dyDescent="0.25">
      <c r="A39" s="3">
        <v>45489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3744.04</v>
      </c>
    </row>
    <row r="40" spans="1:7" x14ac:dyDescent="0.25">
      <c r="A40" s="3">
        <v>45489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3645.62</v>
      </c>
    </row>
    <row r="41" spans="1:7" x14ac:dyDescent="0.25">
      <c r="A41" s="3">
        <v>45489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2296.91</v>
      </c>
    </row>
    <row r="42" spans="1:7" x14ac:dyDescent="0.25">
      <c r="A42" s="3">
        <v>45489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4067.09</v>
      </c>
    </row>
    <row r="43" spans="1:7" x14ac:dyDescent="0.25">
      <c r="A43" s="3">
        <v>45489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4155.67</v>
      </c>
    </row>
    <row r="44" spans="1:7" x14ac:dyDescent="0.25">
      <c r="A44" s="3">
        <v>45489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3267.08</v>
      </c>
    </row>
    <row r="45" spans="1:7" x14ac:dyDescent="0.25">
      <c r="A45" s="3">
        <v>45489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2912.08</v>
      </c>
    </row>
    <row r="46" spans="1:7" x14ac:dyDescent="0.25">
      <c r="A46" s="3">
        <v>45489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3733.48</v>
      </c>
    </row>
    <row r="47" spans="1:7" x14ac:dyDescent="0.25">
      <c r="A47" s="3">
        <v>45489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4246.8100000000004</v>
      </c>
    </row>
    <row r="48" spans="1:7" x14ac:dyDescent="0.25">
      <c r="A48" s="3">
        <v>45489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3435.1</v>
      </c>
    </row>
    <row r="49" spans="1:7" x14ac:dyDescent="0.25">
      <c r="A49" s="3">
        <v>45489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2719.67</v>
      </c>
    </row>
    <row r="50" spans="1:7" x14ac:dyDescent="0.25">
      <c r="A50" s="3">
        <v>45489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8481.64</v>
      </c>
    </row>
    <row r="51" spans="1:7" x14ac:dyDescent="0.25">
      <c r="A51" s="3">
        <v>45489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38628.629999999997</v>
      </c>
    </row>
    <row r="52" spans="1:7" x14ac:dyDescent="0.25">
      <c r="A52" s="3">
        <v>45489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39594.800000000003</v>
      </c>
    </row>
    <row r="53" spans="1:7" x14ac:dyDescent="0.25">
      <c r="A53" s="3">
        <v>45489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13806.51</v>
      </c>
    </row>
    <row r="54" spans="1:7" x14ac:dyDescent="0.25">
      <c r="A54" s="3">
        <v>45489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3513.98</v>
      </c>
    </row>
    <row r="55" spans="1:7" x14ac:dyDescent="0.25">
      <c r="A55" s="3">
        <v>45489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1655.79</v>
      </c>
    </row>
    <row r="56" spans="1:7" x14ac:dyDescent="0.25">
      <c r="A56" s="3">
        <v>45489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14020.03</v>
      </c>
    </row>
    <row r="57" spans="1:7" x14ac:dyDescent="0.25">
      <c r="A57" s="3">
        <v>45489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18312.27</v>
      </c>
    </row>
    <row r="58" spans="1:7" x14ac:dyDescent="0.25">
      <c r="A58" s="3">
        <v>45489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15837.64</v>
      </c>
    </row>
    <row r="59" spans="1:7" x14ac:dyDescent="0.25">
      <c r="A59" s="3">
        <v>45489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4187.33</v>
      </c>
    </row>
    <row r="60" spans="1:7" x14ac:dyDescent="0.25">
      <c r="A60" s="3">
        <v>45489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3659.32</v>
      </c>
    </row>
    <row r="61" spans="1:7" x14ac:dyDescent="0.25">
      <c r="A61" s="3">
        <v>45489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12233.66</v>
      </c>
    </row>
    <row r="62" spans="1:7" x14ac:dyDescent="0.25">
      <c r="A62" s="3">
        <v>45489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18857.11</v>
      </c>
    </row>
    <row r="63" spans="1:7" x14ac:dyDescent="0.25">
      <c r="A63" s="3">
        <v>45489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15258.84</v>
      </c>
    </row>
    <row r="64" spans="1:7" x14ac:dyDescent="0.25">
      <c r="A64" s="3">
        <v>45489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4151.3900000000003</v>
      </c>
    </row>
    <row r="65" spans="1:7" x14ac:dyDescent="0.25">
      <c r="A65" s="3">
        <v>45489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6925.83</v>
      </c>
    </row>
    <row r="66" spans="1:7" x14ac:dyDescent="0.25">
      <c r="A66" s="3">
        <v>45489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4623.1400000000003</v>
      </c>
    </row>
    <row r="67" spans="1:7" x14ac:dyDescent="0.25">
      <c r="A67" s="3">
        <v>45489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1805.55</v>
      </c>
    </row>
    <row r="68" spans="1:7" x14ac:dyDescent="0.25">
      <c r="A68" s="3">
        <v>45489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8390.07</v>
      </c>
    </row>
    <row r="69" spans="1:7" x14ac:dyDescent="0.25">
      <c r="A69" s="3">
        <v>45489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12560.14</v>
      </c>
    </row>
    <row r="70" spans="1:7" x14ac:dyDescent="0.25">
      <c r="A70" s="3">
        <v>45489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64038.45</v>
      </c>
    </row>
    <row r="71" spans="1:7" x14ac:dyDescent="0.25">
      <c r="A71" s="3">
        <v>45489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5074.92</v>
      </c>
    </row>
    <row r="72" spans="1:7" x14ac:dyDescent="0.25">
      <c r="A72" s="3">
        <v>45489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4330.96</v>
      </c>
    </row>
    <row r="73" spans="1:7" x14ac:dyDescent="0.25">
      <c r="A73" s="3">
        <v>45489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6297.69</v>
      </c>
    </row>
    <row r="74" spans="1:7" x14ac:dyDescent="0.25">
      <c r="A74" s="3">
        <v>45489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122910.69</v>
      </c>
    </row>
    <row r="75" spans="1:7" x14ac:dyDescent="0.25">
      <c r="A75" s="3">
        <v>45489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14286.18</v>
      </c>
    </row>
    <row r="76" spans="1:7" x14ac:dyDescent="0.25">
      <c r="A76" s="3">
        <v>45489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27710.16</v>
      </c>
    </row>
    <row r="77" spans="1:7" x14ac:dyDescent="0.25">
      <c r="A77" s="3">
        <v>45489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117052.73</v>
      </c>
    </row>
    <row r="78" spans="1:7" x14ac:dyDescent="0.25">
      <c r="A78" s="3">
        <v>45489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5994.52</v>
      </c>
    </row>
    <row r="79" spans="1:7" x14ac:dyDescent="0.25">
      <c r="A79" s="3">
        <v>45489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4069.66</v>
      </c>
    </row>
    <row r="80" spans="1:7" x14ac:dyDescent="0.25">
      <c r="A80" s="3">
        <v>45489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3289.19</v>
      </c>
    </row>
    <row r="81" spans="1:7" x14ac:dyDescent="0.25">
      <c r="A81" s="3">
        <v>45489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7417.54</v>
      </c>
    </row>
    <row r="82" spans="1:7" x14ac:dyDescent="0.25">
      <c r="A82" s="3">
        <v>45489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9599</v>
      </c>
    </row>
    <row r="83" spans="1:7" x14ac:dyDescent="0.25">
      <c r="A83" s="3">
        <v>45489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4218.28</v>
      </c>
    </row>
    <row r="84" spans="1:7" x14ac:dyDescent="0.25">
      <c r="A84" s="3">
        <v>45489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5147.3</v>
      </c>
    </row>
    <row r="85" spans="1:7" x14ac:dyDescent="0.25">
      <c r="A85" s="3">
        <v>45489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9141.01</v>
      </c>
    </row>
    <row r="86" spans="1:7" x14ac:dyDescent="0.25">
      <c r="A86" s="3">
        <v>45489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21357.7</v>
      </c>
    </row>
    <row r="87" spans="1:7" x14ac:dyDescent="0.25">
      <c r="A87" s="3">
        <v>45489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6017.42</v>
      </c>
    </row>
    <row r="88" spans="1:7" x14ac:dyDescent="0.25">
      <c r="A88" s="3">
        <v>45489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21654.44</v>
      </c>
    </row>
    <row r="89" spans="1:7" x14ac:dyDescent="0.25">
      <c r="A89" s="3">
        <v>45489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7845.01</v>
      </c>
    </row>
    <row r="90" spans="1:7" x14ac:dyDescent="0.25">
      <c r="A90" s="3">
        <v>45489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3982.09</v>
      </c>
    </row>
    <row r="91" spans="1:7" x14ac:dyDescent="0.25">
      <c r="A91" s="3">
        <v>45489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4328.25</v>
      </c>
    </row>
    <row r="92" spans="1:7" x14ac:dyDescent="0.25">
      <c r="A92" s="3">
        <v>45489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8004.75</v>
      </c>
    </row>
    <row r="93" spans="1:7" x14ac:dyDescent="0.25">
      <c r="A93" s="3">
        <v>45489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8758.2000000000007</v>
      </c>
    </row>
    <row r="94" spans="1:7" x14ac:dyDescent="0.25">
      <c r="A94" s="3">
        <v>45489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2588.02</v>
      </c>
    </row>
    <row r="95" spans="1:7" x14ac:dyDescent="0.25">
      <c r="A95" s="3">
        <v>45489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20486.23</v>
      </c>
    </row>
    <row r="96" spans="1:7" x14ac:dyDescent="0.25">
      <c r="A96" s="3">
        <v>45489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44256.31</v>
      </c>
    </row>
    <row r="97" spans="1:7" x14ac:dyDescent="0.25">
      <c r="A97" s="3">
        <v>45489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4256.6499999999996</v>
      </c>
    </row>
    <row r="98" spans="1:7" x14ac:dyDescent="0.25">
      <c r="A98" s="3">
        <v>45489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2187.23</v>
      </c>
    </row>
    <row r="99" spans="1:7" x14ac:dyDescent="0.25">
      <c r="A99" s="3">
        <v>45489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17275.63</v>
      </c>
    </row>
    <row r="100" spans="1:7" x14ac:dyDescent="0.25">
      <c r="A100" s="3">
        <v>45489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3956.27</v>
      </c>
    </row>
    <row r="101" spans="1:7" x14ac:dyDescent="0.25">
      <c r="A101" s="3">
        <v>45489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10456.35</v>
      </c>
    </row>
    <row r="102" spans="1:7" x14ac:dyDescent="0.25">
      <c r="A102" s="3">
        <v>45489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902.13</v>
      </c>
    </row>
    <row r="103" spans="1:7" x14ac:dyDescent="0.25">
      <c r="A103" s="3">
        <v>45489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1741.51</v>
      </c>
    </row>
    <row r="104" spans="1:7" x14ac:dyDescent="0.25">
      <c r="A104" s="3">
        <v>45489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4921.16</v>
      </c>
    </row>
    <row r="105" spans="1:7" x14ac:dyDescent="0.25">
      <c r="A105" s="3">
        <v>45489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2709.68</v>
      </c>
    </row>
    <row r="106" spans="1:7" x14ac:dyDescent="0.25">
      <c r="A106" s="3">
        <v>45489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2879.7</v>
      </c>
    </row>
    <row r="107" spans="1:7" x14ac:dyDescent="0.25">
      <c r="G107" s="91"/>
    </row>
    <row r="108" spans="1:7" x14ac:dyDescent="0.25">
      <c r="G108"/>
    </row>
    <row r="109" spans="1:7" x14ac:dyDescent="0.25">
      <c r="G109"/>
    </row>
    <row r="110" spans="1:7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2024-07-17T01:27:17Z</dcterms:modified>
</cp:coreProperties>
</file>